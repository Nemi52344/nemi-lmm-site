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vidence Audit" sheetId="2" state="visible" r:id="rId2"/>
    <sheet xmlns:r="http://schemas.openxmlformats.org/officeDocument/2006/relationships" name="Change Log" sheetId="3" state="visible" r:id="rId3"/>
  </sheets>
  <definedNames>
    <definedName name="_xlnm._FilterDatabase" localSheetId="1" hidden="1">'Evidence Audit'!$A$4:$L$43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B5D47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0B5D47"/>
      <sz val="9"/>
    </font>
    <font>
      <name val="Arial"/>
      <b val="1"/>
    </font>
    <font>
      <name val="Arial"/>
      <b val="1"/>
      <sz val="10"/>
    </font>
    <font>
      <name val="Arial"/>
      <sz val="10"/>
    </font>
    <font>
      <name val="Arial"/>
      <b val="1"/>
      <color rgb="000B5D47"/>
    </font>
  </fonts>
  <fills count="7">
    <fill>
      <patternFill/>
    </fill>
    <fill>
      <patternFill patternType="gray125"/>
    </fill>
    <fill>
      <patternFill patternType="solid">
        <fgColor rgb="000B5D47"/>
      </patternFill>
    </fill>
    <fill>
      <patternFill patternType="solid">
        <fgColor rgb="00F8D7D3"/>
      </patternFill>
    </fill>
    <fill>
      <patternFill patternType="solid">
        <fgColor rgb="00FFFDF5"/>
      </patternFill>
    </fill>
    <fill>
      <patternFill patternType="solid">
        <fgColor rgb="00FFF1C2"/>
      </patternFill>
    </fill>
    <fill>
      <patternFill patternType="solid">
        <fgColor rgb="00DDEFE6"/>
      </patternFill>
    </fill>
  </fills>
  <borders count="2">
    <border>
      <left/>
      <right/>
      <top/>
      <bottom/>
      <diagonal/>
    </border>
    <border>
      <left style="thin">
        <color rgb="00D9D4CA"/>
      </left>
      <right style="thin">
        <color rgb="00D9D4CA"/>
      </right>
      <top style="thin">
        <color rgb="00D9D4CA"/>
      </top>
      <bottom style="thin">
        <color rgb="00D9D4C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vertical="center" wrapText="1"/>
    </xf>
    <xf numFmtId="0" fontId="8" fillId="3" borderId="1" pivotButton="0" quotePrefix="0" xfId="0"/>
    <xf numFmtId="0" fontId="9" fillId="0" borderId="1" pivotButton="0" quotePrefix="0" xfId="0"/>
    <xf numFmtId="0" fontId="8" fillId="5" borderId="1" pivotButton="0" quotePrefix="0" xfId="0"/>
    <xf numFmtId="0" fontId="8" fillId="6" borderId="1" pivotButton="0" quotePrefix="0" xfId="0"/>
    <xf numFmtId="0" fontId="7" fillId="0" borderId="1" pivotButton="0" quotePrefix="0" xfId="0"/>
    <xf numFmtId="0" fontId="10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9E8D8"/>
        </patternFill>
      </fill>
    </dxf>
    <dxf>
      <fill>
        <patternFill patternType="solid">
          <fgColor rgb="00F8D7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7" customWidth="1" min="4" max="4"/>
    <col width="16" customWidth="1" min="5" max="5"/>
    <col width="11" customWidth="1" min="6" max="6"/>
  </cols>
  <sheetData>
    <row r="1">
      <c r="A1" s="1" t="inlineStr">
        <is>
          <t>S-4 evidence audit · summary</t>
        </is>
      </c>
    </row>
    <row r="3">
      <c r="A3" s="2" t="inlineStr">
        <is>
          <t>Risk</t>
        </is>
      </c>
      <c r="B3" s="2" t="inlineStr">
        <is>
          <t>Claims</t>
        </is>
      </c>
      <c r="C3" s="2" t="inlineStr">
        <is>
          <t>Changed on branch</t>
        </is>
      </c>
      <c r="D3" s="2" t="inlineStr">
        <is>
          <t>Source doc filled</t>
        </is>
      </c>
      <c r="E3" s="2" t="inlineStr">
        <is>
          <t>Counsel cleared</t>
        </is>
      </c>
      <c r="F3" s="2" t="inlineStr">
        <is>
          <t>Still open</t>
        </is>
      </c>
    </row>
    <row r="4">
      <c r="A4" s="3" t="inlineStr">
        <is>
          <t>High</t>
        </is>
      </c>
      <c r="B4" s="4">
        <f>COUNTIF('Evidence Audit'!$F$5:$F$43,A4)</f>
        <v/>
      </c>
      <c r="C4" s="4">
        <f>COUNTIFS('Evidence Audit'!$F$5:$F$43,A4,'Evidence Audit'!$G$5:$G$43,"Changed*")</f>
        <v/>
      </c>
      <c r="D4" s="4">
        <f>COUNTIFS('Evidence Audit'!$F$5:$F$43,A4,'Evidence Audit'!$I$5:$I$43,"&lt;&gt;")</f>
        <v/>
      </c>
      <c r="E4" s="4">
        <f>COUNTIFS('Evidence Audit'!$F$5:$F$43,A4,'Evidence Audit'!$K$5:$K$43,"Cleared*")</f>
        <v/>
      </c>
      <c r="F4" s="4">
        <f>B4-E4</f>
        <v/>
      </c>
    </row>
    <row r="5">
      <c r="A5" s="5" t="inlineStr">
        <is>
          <t>Medium</t>
        </is>
      </c>
      <c r="B5" s="4">
        <f>COUNTIF('Evidence Audit'!$F$5:$F$43,A5)</f>
        <v/>
      </c>
      <c r="C5" s="4">
        <f>COUNTIFS('Evidence Audit'!$F$5:$F$43,A5,'Evidence Audit'!$G$5:$G$43,"Changed*")</f>
        <v/>
      </c>
      <c r="D5" s="4">
        <f>COUNTIFS('Evidence Audit'!$F$5:$F$43,A5,'Evidence Audit'!$I$5:$I$43,"&lt;&gt;")</f>
        <v/>
      </c>
      <c r="E5" s="4">
        <f>COUNTIFS('Evidence Audit'!$F$5:$F$43,A5,'Evidence Audit'!$K$5:$K$43,"Cleared*")</f>
        <v/>
      </c>
      <c r="F5" s="4">
        <f>B5-E5</f>
        <v/>
      </c>
    </row>
    <row r="6">
      <c r="A6" s="6" t="inlineStr">
        <is>
          <t>Low</t>
        </is>
      </c>
      <c r="B6" s="4">
        <f>COUNTIF('Evidence Audit'!$F$5:$F$43,A6)</f>
        <v/>
      </c>
      <c r="C6" s="4">
        <f>COUNTIFS('Evidence Audit'!$F$5:$F$43,A6,'Evidence Audit'!$G$5:$G$43,"Changed*")</f>
        <v/>
      </c>
      <c r="D6" s="4">
        <f>COUNTIFS('Evidence Audit'!$F$5:$F$43,A6,'Evidence Audit'!$I$5:$I$43,"&lt;&gt;")</f>
        <v/>
      </c>
      <c r="E6" s="4">
        <f>COUNTIFS('Evidence Audit'!$F$5:$F$43,A6,'Evidence Audit'!$K$5:$K$43,"Cleared*")</f>
        <v/>
      </c>
      <c r="F6" s="4">
        <f>B6-E6</f>
        <v/>
      </c>
    </row>
    <row r="7">
      <c r="A7" s="7" t="inlineStr">
        <is>
          <t>Total</t>
        </is>
      </c>
      <c r="B7" s="7">
        <f>SUM(B4:B6)</f>
        <v/>
      </c>
      <c r="C7" s="7">
        <f>SUM(C4:C6)</f>
        <v/>
      </c>
      <c r="D7" s="7">
        <f>SUM(D4:D6)</f>
        <v/>
      </c>
      <c r="E7" s="7">
        <f>SUM(E4:E6)</f>
        <v/>
      </c>
      <c r="F7" s="7">
        <f>SUM(F4:F6)</f>
        <v/>
      </c>
    </row>
    <row r="9">
      <c r="A9" s="8" t="inlineStr">
        <is>
          <t>Decisions due this week</t>
        </is>
      </c>
    </row>
    <row r="10">
      <c r="A10" s="9" t="inlineStr">
        <is>
          <t>• invest.nemilmm.com: gated NDA + accreditation portal, or remove the link (CEO + counsel)</t>
        </is>
      </c>
    </row>
    <row r="11">
      <c r="A11" s="9" t="inlineStr">
        <is>
          <t>• Who signs off the evidence audit (Marketing + CFO, counsel)</t>
        </is>
      </c>
    </row>
    <row r="12">
      <c r="A12" s="9" t="inlineStr">
        <is>
          <t>• Site freeze: counsel pre-clears every change, logged in the Change Log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46" customWidth="1" min="4" max="4"/>
    <col width="16" customWidth="1" min="5" max="5"/>
    <col width="9" customWidth="1" min="6" max="6"/>
    <col width="30" customWidth="1" min="7" max="7"/>
    <col width="34" customWidth="1" min="8" max="8"/>
    <col width="30" customWidth="1" min="9" max="9"/>
    <col width="14" customWidth="1" min="10" max="10"/>
    <col width="14" customWidth="1" min="11" max="11"/>
    <col width="34" customWidth="1" min="12" max="12"/>
  </cols>
  <sheetData>
    <row r="1">
      <c r="A1" s="1" t="inlineStr">
        <is>
          <t>NEMI LMM · S-4 evidence audit</t>
        </is>
      </c>
    </row>
    <row r="2">
      <c r="A2" s="10" t="inlineStr">
        <is>
          <t>Every claim on nemilmm.com as of 22 Sep 2026. Rule: if it can't be traced to a document, it comes down or gets rewritten.</t>
        </is>
      </c>
    </row>
    <row r="4" ht="30" customHeight="1">
      <c r="A4" s="2" t="inlineStr">
        <is>
          <t>ID</t>
        </is>
      </c>
      <c r="B4" s="2" t="inlineStr">
        <is>
          <t>Page</t>
        </is>
      </c>
      <c r="C4" s="2" t="inlineStr">
        <is>
          <t>Location</t>
        </is>
      </c>
      <c r="D4" s="2" t="inlineStr">
        <is>
          <t>Claim (live text, 22 Sep 2026)</t>
        </is>
      </c>
      <c r="E4" s="2" t="inlineStr">
        <is>
          <t>Claim type</t>
        </is>
      </c>
      <c r="F4" s="2" t="inlineStr">
        <is>
          <t>Risk</t>
        </is>
      </c>
      <c r="G4" s="2" t="inlineStr">
        <is>
          <t>Branch status</t>
        </is>
      </c>
      <c r="H4" s="2" t="inlineStr">
        <is>
          <t>Evidence needed</t>
        </is>
      </c>
      <c r="I4" s="2" t="inlineStr">
        <is>
          <t>Source document (fill in)</t>
        </is>
      </c>
      <c r="J4" s="2" t="inlineStr">
        <is>
          <t>Owner</t>
        </is>
      </c>
      <c r="K4" s="2" t="inlineStr">
        <is>
          <t>Counsel sign-off</t>
        </is>
      </c>
      <c r="L4" s="2" t="inlineStr">
        <is>
          <t>Notes</t>
        </is>
      </c>
    </row>
    <row r="5">
      <c r="A5" s="11" t="inlineStr">
        <is>
          <t>C01</t>
        </is>
      </c>
      <c r="B5" s="11" t="inlineStr">
        <is>
          <t>About</t>
        </is>
      </c>
      <c r="C5" s="11" t="inlineStr">
        <is>
          <t>CEO bio</t>
        </is>
      </c>
      <c r="D5" s="11" t="inlineStr">
        <is>
          <t>Built NEMI greenfield to 300k sq ft</t>
        </is>
      </c>
      <c r="E5" s="11" t="inlineStr">
        <is>
          <t>Corporate history</t>
        </is>
      </c>
      <c r="F5" s="12" t="inlineStr">
        <is>
          <t>High</t>
        </is>
      </c>
      <c r="G5" s="13" t="inlineStr">
        <is>
          <t>Changed: 'Acquired and expanded ... to over 300,000 sq ft'</t>
        </is>
      </c>
      <c r="H5" s="11" t="inlineStr">
        <is>
          <t>Acquisition docs, leases/deeds with sq ft</t>
        </is>
      </c>
      <c r="I5" s="14" t="inlineStr"/>
      <c r="J5" s="11" t="inlineStr">
        <is>
          <t>CFO</t>
        </is>
      </c>
      <c r="K5" s="14" t="inlineStr"/>
      <c r="L5" s="11" t="inlineStr">
        <is>
          <t>Contradicted our own deck and letter (MaaS acquired 2 yrs ago)</t>
        </is>
      </c>
    </row>
    <row r="6">
      <c r="A6" s="11" t="inlineStr">
        <is>
          <t>C02</t>
        </is>
      </c>
      <c r="B6" s="11" t="inlineStr">
        <is>
          <t>Home, About, Master Plan</t>
        </is>
      </c>
      <c r="C6" s="11" t="inlineStr">
        <is>
          <t>Hero lede / letter summary</t>
        </is>
      </c>
      <c r="D6" s="11" t="inlineStr">
        <is>
          <t>sell Manufacturing-as-a-Service, profitably, today</t>
        </is>
      </c>
      <c r="E6" s="11" t="inlineStr">
        <is>
          <t>Financial</t>
        </is>
      </c>
      <c r="F6" s="12" t="inlineStr">
        <is>
          <t>High</t>
        </is>
      </c>
      <c r="G6" s="13" t="inlineStr">
        <is>
          <t>Changed: profitability removed</t>
        </is>
      </c>
      <c r="H6" s="11" t="inlineStr">
        <is>
          <t>Segment P&amp;L if reinstated with exact measure (e.g. MaaS segment EBITDA-positive)</t>
        </is>
      </c>
      <c r="I6" s="14" t="inlineStr"/>
      <c r="J6" s="11" t="inlineStr">
        <is>
          <t>CFO</t>
        </is>
      </c>
      <c r="K6" s="14" t="inlineStr"/>
      <c r="L6" s="11" t="inlineStr">
        <is>
          <t>Consolidated financials show losses</t>
        </is>
      </c>
    </row>
    <row r="7">
      <c r="A7" s="11" t="inlineStr">
        <is>
          <t>C03</t>
        </is>
      </c>
      <c r="B7" s="11" t="inlineStr">
        <is>
          <t>About, Master Plan</t>
        </is>
      </c>
      <c r="C7" s="11" t="inlineStr">
        <is>
          <t>Letter: not a binary bet</t>
        </is>
      </c>
      <c r="D7" s="11" t="inlineStr">
        <is>
          <t>MaaS is profitable on its own ... throws off real cash ... a business that already works</t>
        </is>
      </c>
      <c r="E7" s="11" t="inlineStr">
        <is>
          <t>Financial</t>
        </is>
      </c>
      <c r="F7" s="12" t="inlineStr">
        <is>
          <t>High</t>
        </is>
      </c>
      <c r="G7" s="13" t="inlineStr">
        <is>
          <t>Changed: softened to belief</t>
        </is>
      </c>
      <c r="H7" s="11" t="inlineStr">
        <is>
          <t>Segment P&amp;L</t>
        </is>
      </c>
      <c r="I7" s="14" t="inlineStr"/>
      <c r="J7" s="11" t="inlineStr">
        <is>
          <t>CFO</t>
        </is>
      </c>
      <c r="K7" s="14" t="inlineStr"/>
      <c r="L7" s="11" t="inlineStr"/>
    </row>
    <row r="8">
      <c r="A8" s="11" t="inlineStr">
        <is>
          <t>C04</t>
        </is>
      </c>
      <c r="B8" s="11" t="inlineStr">
        <is>
          <t>About, Master Plan, LMM Stack</t>
        </is>
      </c>
      <c r="C8" s="11" t="inlineStr">
        <is>
          <t>Letter / stack</t>
        </is>
      </c>
      <c r="D8" s="11" t="inlineStr">
        <is>
          <t>over 300,000 sq ft</t>
        </is>
      </c>
      <c r="E8" s="11" t="inlineStr">
        <is>
          <t>Operational</t>
        </is>
      </c>
      <c r="F8" s="15" t="inlineStr">
        <is>
          <t>Medium</t>
        </is>
      </c>
      <c r="G8" s="11" t="inlineStr">
        <is>
          <t>Unchanged</t>
        </is>
      </c>
      <c r="H8" s="11" t="inlineStr">
        <is>
          <t>Leases/deeds totalling 300k+ sq ft</t>
        </is>
      </c>
      <c r="I8" s="14" t="inlineStr"/>
      <c r="J8" s="11" t="inlineStr">
        <is>
          <t>CFO</t>
        </is>
      </c>
      <c r="K8" s="14" t="inlineStr"/>
      <c r="L8" s="11" t="inlineStr"/>
    </row>
    <row r="9">
      <c r="A9" s="11" t="inlineStr">
        <is>
          <t>C05</t>
        </is>
      </c>
      <c r="B9" s="11" t="inlineStr">
        <is>
          <t>About, Master Plan</t>
        </is>
      </c>
      <c r="C9" s="11" t="inlineStr">
        <is>
          <t>Letter</t>
        </is>
      </c>
      <c r="D9" s="11" t="inlineStr">
        <is>
          <t>We built and hardened these capabilities on our own EV business ... working with several large enterprise customers</t>
        </is>
      </c>
      <c r="E9" s="11" t="inlineStr">
        <is>
          <t>Commercial</t>
        </is>
      </c>
      <c r="F9" s="15" t="inlineStr">
        <is>
          <t>Medium</t>
        </is>
      </c>
      <c r="G9" s="11" t="inlineStr">
        <is>
          <t>Unchanged</t>
        </is>
      </c>
      <c r="H9" s="11" t="inlineStr">
        <is>
          <t>Customer contracts / POs (define 'large enterprise')</t>
        </is>
      </c>
      <c r="I9" s="14" t="inlineStr"/>
      <c r="J9" s="11" t="inlineStr">
        <is>
          <t>CEO</t>
        </is>
      </c>
      <c r="K9" s="14" t="inlineStr"/>
      <c r="L9" s="11" t="inlineStr"/>
    </row>
    <row r="10">
      <c r="A10" s="11" t="inlineStr">
        <is>
          <t>C06</t>
        </is>
      </c>
      <c r="B10" s="11" t="inlineStr">
        <is>
          <t>About, Master Plan</t>
        </is>
      </c>
      <c r="C10" s="11" t="inlineStr">
        <is>
          <t>Letter</t>
        </is>
      </c>
      <c r="D10" s="11" t="inlineStr">
        <is>
          <t>The only way to get the data ...</t>
        </is>
      </c>
      <c r="E10" s="11" t="inlineStr">
        <is>
          <t>Absolute</t>
        </is>
      </c>
      <c r="F10" s="15" t="inlineStr">
        <is>
          <t>Medium</t>
        </is>
      </c>
      <c r="G10" s="13" t="inlineStr">
        <is>
          <t>Changed: 'We believe the most reliable way'</t>
        </is>
      </c>
      <c r="H10" s="11" t="inlineStr">
        <is>
          <t>n/a (opinion)</t>
        </is>
      </c>
      <c r="I10" s="14" t="inlineStr"/>
      <c r="J10" s="11" t="inlineStr">
        <is>
          <t>Counsel</t>
        </is>
      </c>
      <c r="K10" s="14" t="inlineStr"/>
      <c r="L10" s="11" t="inlineStr"/>
    </row>
    <row r="11">
      <c r="A11" s="11" t="inlineStr">
        <is>
          <t>C07</t>
        </is>
      </c>
      <c r="B11" s="11" t="inlineStr">
        <is>
          <t>About, Master Plan</t>
        </is>
      </c>
      <c r="C11" s="11" t="inlineStr">
        <is>
          <t>Letter Phase 2</t>
        </is>
      </c>
      <c r="D11" s="11" t="inlineStr">
        <is>
          <t>I believe even cellphone manufacturing can be moved back to the US</t>
        </is>
      </c>
      <c r="E11" s="11" t="inlineStr">
        <is>
          <t>Prediction</t>
        </is>
      </c>
      <c r="F11" s="15" t="inlineStr">
        <is>
          <t>Medium</t>
        </is>
      </c>
      <c r="G11" s="13" t="inlineStr">
        <is>
          <t>Changed: framed as ambition</t>
        </is>
      </c>
      <c r="H11" s="11" t="inlineStr">
        <is>
          <t>n/a, covered by FLS note</t>
        </is>
      </c>
      <c r="I11" s="14" t="inlineStr"/>
      <c r="J11" s="11" t="inlineStr">
        <is>
          <t>Counsel</t>
        </is>
      </c>
      <c r="K11" s="14" t="inlineStr"/>
      <c r="L11" s="11" t="inlineStr"/>
    </row>
    <row r="12">
      <c r="A12" s="11" t="inlineStr">
        <is>
          <t>C08</t>
        </is>
      </c>
      <c r="B12" s="11" t="inlineStr">
        <is>
          <t>About, Master Plan</t>
        </is>
      </c>
      <c r="C12" s="11" t="inlineStr">
        <is>
          <t>Under letter</t>
        </is>
      </c>
      <c r="D12" s="11" t="inlineStr">
        <is>
          <t>(no forward-looking statements note)</t>
        </is>
      </c>
      <c r="E12" s="11" t="inlineStr">
        <is>
          <t>Missing disclosure</t>
        </is>
      </c>
      <c r="F12" s="12" t="inlineStr">
        <is>
          <t>High</t>
        </is>
      </c>
      <c r="G12" s="13" t="inlineStr">
        <is>
          <t>Changed: FLS note added (draft, counsel to replace)</t>
        </is>
      </c>
      <c r="H12" s="11" t="inlineStr">
        <is>
          <t>Counsel wording</t>
        </is>
      </c>
      <c r="I12" s="14" t="inlineStr"/>
      <c r="J12" s="11" t="inlineStr">
        <is>
          <t>Counsel</t>
        </is>
      </c>
      <c r="K12" s="14" t="inlineStr"/>
      <c r="L12" s="11" t="inlineStr">
        <is>
          <t>De-SPAC safe harbour does not apply; wording still matters</t>
        </is>
      </c>
    </row>
    <row r="13">
      <c r="A13" s="11" t="inlineStr">
        <is>
          <t>C09</t>
        </is>
      </c>
      <c r="B13" s="11" t="inlineStr">
        <is>
          <t>About, Master Plan</t>
        </is>
      </c>
      <c r="C13" s="11" t="inlineStr">
        <is>
          <t>Letter Phase 1</t>
        </is>
      </c>
      <c r="D13" s="11" t="inlineStr">
        <is>
          <t>we have built a massive library of lithium-ion cells ... library of BMS designs</t>
        </is>
      </c>
      <c r="E13" s="11" t="inlineStr">
        <is>
          <t>Technical</t>
        </is>
      </c>
      <c r="F13" s="15" t="inlineStr">
        <is>
          <t>Medium</t>
        </is>
      </c>
      <c r="G13" s="11" t="inlineStr">
        <is>
          <t>Unchanged</t>
        </is>
      </c>
      <c r="H13" s="11" t="inlineStr">
        <is>
          <t>Internal library inventory</t>
        </is>
      </c>
      <c r="I13" s="14" t="inlineStr"/>
      <c r="J13" s="11" t="inlineStr">
        <is>
          <t>CTO</t>
        </is>
      </c>
      <c r="K13" s="14" t="inlineStr"/>
      <c r="L13" s="11" t="inlineStr">
        <is>
          <t>'massive' is unquantified</t>
        </is>
      </c>
    </row>
    <row r="14">
      <c r="A14" s="11" t="inlineStr">
        <is>
          <t>C10</t>
        </is>
      </c>
      <c r="B14" s="11" t="inlineStr">
        <is>
          <t>Home</t>
        </is>
      </c>
      <c r="C14" s="11" t="inlineStr">
        <is>
          <t>Loop section</t>
        </is>
      </c>
      <c r="D14" s="11" t="inlineStr">
        <is>
          <t>Our LMM runs all of them, and every deployment compounds system intelligence</t>
        </is>
      </c>
      <c r="E14" s="11" t="inlineStr">
        <is>
          <t>Technical / absolute</t>
        </is>
      </c>
      <c r="F14" s="12" t="inlineStr">
        <is>
          <t>High</t>
        </is>
      </c>
      <c r="G14" s="13" t="inlineStr">
        <is>
          <t>Changed: 'is built to run', 'designed to feed back'</t>
        </is>
      </c>
      <c r="H14" s="11" t="inlineStr">
        <is>
          <t>Deployment records per stage</t>
        </is>
      </c>
      <c r="I14" s="14" t="inlineStr"/>
      <c r="J14" s="11" t="inlineStr">
        <is>
          <t>CTO</t>
        </is>
      </c>
      <c r="K14" s="14" t="inlineStr"/>
      <c r="L14" s="11" t="inlineStr"/>
    </row>
    <row r="15">
      <c r="A15" s="11" t="inlineStr">
        <is>
          <t>C11</t>
        </is>
      </c>
      <c r="B15" s="11" t="inlineStr">
        <is>
          <t>Home</t>
        </is>
      </c>
      <c r="C15" s="11" t="inlineStr">
        <is>
          <t>Suite cards</t>
        </is>
      </c>
      <c r="D15" s="11" t="inlineStr">
        <is>
          <t>Anvil LIVE, Orion LIVE, Atlas LIVE</t>
        </is>
      </c>
      <c r="E15" s="11" t="inlineStr">
        <is>
          <t>Product status</t>
        </is>
      </c>
      <c r="F15" s="12" t="inlineStr">
        <is>
          <t>High</t>
        </is>
      </c>
      <c r="G15" s="13" t="inlineStr">
        <is>
          <t>Changed: LIVE badges removed</t>
        </is>
      </c>
      <c r="H15" s="11" t="inlineStr">
        <is>
          <t>Paid production usage per suite; then reinstate Live / Pilot / Roadmap</t>
        </is>
      </c>
      <c r="I15" s="14" t="inlineStr"/>
      <c r="J15" s="11" t="inlineStr">
        <is>
          <t>CTO</t>
        </is>
      </c>
      <c r="K15" s="14" t="inlineStr"/>
      <c r="L15" s="11" t="inlineStr">
        <is>
          <t>Momentus 'successfully tested' pattern</t>
        </is>
      </c>
    </row>
    <row r="16">
      <c r="A16" s="11" t="inlineStr">
        <is>
          <t>C12</t>
        </is>
      </c>
      <c r="B16" s="11" t="inlineStr">
        <is>
          <t>Home, Careers, LMM Stack</t>
        </is>
      </c>
      <c r="C16" s="11" t="inlineStr">
        <is>
          <t>Hero / careers</t>
        </is>
      </c>
      <c r="D16" s="11" t="inlineStr">
        <is>
          <t>Trained inside our own factories. Proven on every part we ship. / proven daily ... on parts that ship / Every unit shipped is another training run</t>
        </is>
      </c>
      <c r="E16" s="11" t="inlineStr">
        <is>
          <t>Technical / absolute</t>
        </is>
      </c>
      <c r="F16" s="12" t="inlineStr">
        <is>
          <t>High</t>
        </is>
      </c>
      <c r="G16" s="11" t="inlineStr">
        <is>
          <t>Unchanged</t>
        </is>
      </c>
      <c r="H16" s="11" t="inlineStr">
        <is>
          <t>Training data logs tied to shipped parts</t>
        </is>
      </c>
      <c r="I16" s="14" t="inlineStr"/>
      <c r="J16" s="11" t="inlineStr">
        <is>
          <t>CTO</t>
        </is>
      </c>
      <c r="K16" s="14" t="inlineStr"/>
      <c r="L16" s="11" t="inlineStr">
        <is>
          <t>'every part' is an absolute; soften unless provable</t>
        </is>
      </c>
    </row>
    <row r="17">
      <c r="A17" s="11" t="inlineStr">
        <is>
          <t>C13</t>
        </is>
      </c>
      <c r="B17" s="11" t="inlineStr">
        <is>
          <t>Careers</t>
        </is>
      </c>
      <c r="C17" s="11" t="inlineStr">
        <is>
          <t>Hero</t>
        </is>
      </c>
      <c r="D17" s="11" t="inlineStr">
        <is>
          <t>AI is going to transform manufacturing. We're leading the way.</t>
        </is>
      </c>
      <c r="E17" s="11" t="inlineStr">
        <is>
          <t>Market position</t>
        </is>
      </c>
      <c r="F17" s="15" t="inlineStr">
        <is>
          <t>Medium</t>
        </is>
      </c>
      <c r="G17" s="11" t="inlineStr">
        <is>
          <t>Unchanged</t>
        </is>
      </c>
      <c r="H17" s="11" t="inlineStr">
        <is>
          <t>n/a, soften to ambition</t>
        </is>
      </c>
      <c r="I17" s="14" t="inlineStr"/>
      <c r="J17" s="11" t="inlineStr">
        <is>
          <t>Counsel</t>
        </is>
      </c>
      <c r="K17" s="14" t="inlineStr"/>
      <c r="L17" s="11" t="inlineStr"/>
    </row>
    <row r="18">
      <c r="A18" s="11" t="inlineStr">
        <is>
          <t>C14</t>
        </is>
      </c>
      <c r="B18" s="11" t="inlineStr">
        <is>
          <t>Home</t>
        </is>
      </c>
      <c r="C18" s="11" t="inlineStr">
        <is>
          <t>Section headline</t>
        </is>
      </c>
      <c r="D18" s="11" t="inlineStr">
        <is>
          <t>Competitors Simulate. We Execute.</t>
        </is>
      </c>
      <c r="E18" s="11" t="inlineStr">
        <is>
          <t>Comparative</t>
        </is>
      </c>
      <c r="F18" s="16" t="inlineStr">
        <is>
          <t>Low</t>
        </is>
      </c>
      <c r="G18" s="11" t="inlineStr">
        <is>
          <t>Unchanged</t>
        </is>
      </c>
      <c r="H18" s="11" t="inlineStr">
        <is>
          <t>n/a (tagline)</t>
        </is>
      </c>
      <c r="I18" s="14" t="inlineStr"/>
      <c r="J18" s="11" t="inlineStr">
        <is>
          <t>Counsel</t>
        </is>
      </c>
      <c r="K18" s="14" t="inlineStr"/>
      <c r="L18" s="11" t="inlineStr"/>
    </row>
    <row r="19">
      <c r="A19" s="11" t="inlineStr">
        <is>
          <t>C15</t>
        </is>
      </c>
      <c r="B19" s="11" t="inlineStr">
        <is>
          <t>Home, all footers</t>
        </is>
      </c>
      <c r="C19" s="11" t="inlineStr">
        <is>
          <t>Badges</t>
        </is>
      </c>
      <c r="D19" s="11" t="inlineStr">
        <is>
          <t>AS9100D:2016, ISO 9001:2015</t>
        </is>
      </c>
      <c r="E19" s="11" t="inlineStr">
        <is>
          <t>Certification</t>
        </is>
      </c>
      <c r="F19" s="15" t="inlineStr">
        <is>
          <t>Medium</t>
        </is>
      </c>
      <c r="G19" s="11" t="inlineStr">
        <is>
          <t>Unchanged</t>
        </is>
      </c>
      <c r="H19" s="11" t="inlineStr">
        <is>
          <t>Certificates: scope, sites covered, expiry dates</t>
        </is>
      </c>
      <c r="I19" s="14" t="inlineStr"/>
      <c r="J19" s="11" t="inlineStr">
        <is>
          <t>Quality head</t>
        </is>
      </c>
      <c r="K19" s="14" t="inlineStr"/>
      <c r="L19" s="11" t="inlineStr">
        <is>
          <t>FAQ says 'Our factories are certified': confirm every site is in scope</t>
        </is>
      </c>
    </row>
    <row r="20">
      <c r="A20" s="11" t="inlineStr">
        <is>
          <t>C16</t>
        </is>
      </c>
      <c r="B20" s="11" t="inlineStr">
        <is>
          <t>All pages</t>
        </is>
      </c>
      <c r="C20" s="11" t="inlineStr">
        <is>
          <t>Footer</t>
        </is>
      </c>
      <c r="D20" s="11" t="inlineStr">
        <is>
          <t>© 2026 NEMI LMM</t>
        </is>
      </c>
      <c r="E20" s="11" t="inlineStr">
        <is>
          <t>Entity name</t>
        </is>
      </c>
      <c r="F20" s="15" t="inlineStr">
        <is>
          <t>Medium</t>
        </is>
      </c>
      <c r="G20" s="11" t="inlineStr">
        <is>
          <t>Unchanged</t>
        </is>
      </c>
      <c r="H20" s="11" t="inlineStr">
        <is>
          <t>Legal entity name as it will appear in the S-4</t>
        </is>
      </c>
      <c r="I20" s="14" t="inlineStr"/>
      <c r="J20" s="11" t="inlineStr">
        <is>
          <t>Counsel</t>
        </is>
      </c>
      <c r="K20" s="14" t="inlineStr"/>
      <c r="L20" s="11" t="inlineStr">
        <is>
          <t>Change when S-4 draft names the entity</t>
        </is>
      </c>
    </row>
    <row r="21">
      <c r="A21" s="11" t="inlineStr">
        <is>
          <t>C17</t>
        </is>
      </c>
      <c r="B21" s="11" t="inlineStr">
        <is>
          <t>All pages</t>
        </is>
      </c>
      <c r="C21" s="11" t="inlineStr">
        <is>
          <t>Footer / About</t>
        </is>
      </c>
      <c r="D21" s="11" t="inlineStr">
        <is>
          <t>Texas, US · Chennai · Coimbatore, India / Stafford, Texas (HQ)</t>
        </is>
      </c>
      <c r="E21" s="11" t="inlineStr">
        <is>
          <t>Corporate</t>
        </is>
      </c>
      <c r="F21" s="16" t="inlineStr">
        <is>
          <t>Low</t>
        </is>
      </c>
      <c r="G21" s="11" t="inlineStr">
        <is>
          <t>Unchanged</t>
        </is>
      </c>
      <c r="H21" s="11" t="inlineStr">
        <is>
          <t>Registered office / lease</t>
        </is>
      </c>
      <c r="I21" s="14" t="inlineStr"/>
      <c r="J21" s="11" t="inlineStr">
        <is>
          <t>CFO</t>
        </is>
      </c>
      <c r="K21" s="14" t="inlineStr"/>
      <c r="L21" s="11" t="inlineStr"/>
    </row>
    <row r="22">
      <c r="A22" s="11" t="inlineStr">
        <is>
          <t>C18</t>
        </is>
      </c>
      <c r="B22" s="11" t="inlineStr">
        <is>
          <t>About</t>
        </is>
      </c>
      <c r="C22" s="11" t="inlineStr">
        <is>
          <t>Hero</t>
        </is>
      </c>
      <c r="D22" s="11" t="inlineStr">
        <is>
          <t>More locations coming soon.</t>
        </is>
      </c>
      <c r="E22" s="11" t="inlineStr">
        <is>
          <t>Forward-looking</t>
        </is>
      </c>
      <c r="F22" s="15" t="inlineStr">
        <is>
          <t>Medium</t>
        </is>
      </c>
      <c r="G22" s="11" t="inlineStr">
        <is>
          <t>Unchanged</t>
        </is>
      </c>
      <c r="H22" s="11" t="inlineStr">
        <is>
          <t>n/a, remove or cover by FLS</t>
        </is>
      </c>
      <c r="I22" s="14" t="inlineStr"/>
      <c r="J22" s="11" t="inlineStr">
        <is>
          <t>Counsel</t>
        </is>
      </c>
      <c r="K22" s="14" t="inlineStr"/>
      <c r="L22" s="11" t="inlineStr"/>
    </row>
    <row r="23">
      <c r="A23" s="11" t="inlineStr">
        <is>
          <t>C19</t>
        </is>
      </c>
      <c r="B23" s="11" t="inlineStr">
        <is>
          <t>Offerings</t>
        </is>
      </c>
      <c r="C23" s="11" t="inlineStr">
        <is>
          <t>Stats + meta</t>
        </is>
      </c>
      <c r="D23" s="11" t="inlineStr">
        <is>
          <t>9 category factories, one stack</t>
        </is>
      </c>
      <c r="E23" s="11" t="inlineStr">
        <is>
          <t>Operational</t>
        </is>
      </c>
      <c r="F23" s="12" t="inlineStr">
        <is>
          <t>High</t>
        </is>
      </c>
      <c r="G23" s="13" t="inlineStr">
        <is>
          <t>Changed: 'Manufacturing categories'</t>
        </is>
      </c>
      <c r="H23" s="11" t="inlineStr">
        <is>
          <t>Per category: Live / Pilot / Roadmap status</t>
        </is>
      </c>
      <c r="I23" s="14" t="inlineStr"/>
      <c r="J23" s="11" t="inlineStr">
        <is>
          <t>COO</t>
        </is>
      </c>
      <c r="K23" s="14" t="inlineStr"/>
      <c r="L23" s="11" t="inlineStr">
        <is>
          <t>Still need to label each category</t>
        </is>
      </c>
    </row>
    <row r="24">
      <c r="A24" s="11" t="inlineStr">
        <is>
          <t>C20</t>
        </is>
      </c>
      <c r="B24" s="11" t="inlineStr">
        <is>
          <t>Offerings</t>
        </is>
      </c>
      <c r="C24" s="11" t="inlineStr">
        <is>
          <t>Stats</t>
        </is>
      </c>
      <c r="D24" s="11" t="inlineStr">
        <is>
          <t>10–15 μm flight-critical tolerance, held in serial supply</t>
        </is>
      </c>
      <c r="E24" s="11" t="inlineStr">
        <is>
          <t>Technical</t>
        </is>
      </c>
      <c r="F24" s="15" t="inlineStr">
        <is>
          <t>Medium</t>
        </is>
      </c>
      <c r="G24" s="11" t="inlineStr">
        <is>
          <t>Unchanged</t>
        </is>
      </c>
      <c r="H24" s="11" t="inlineStr">
        <is>
          <t>CMM / SPC records</t>
        </is>
      </c>
      <c r="I24" s="14" t="inlineStr"/>
      <c r="J24" s="11" t="inlineStr">
        <is>
          <t>Quality head</t>
        </is>
      </c>
      <c r="K24" s="14" t="inlineStr"/>
      <c r="L24" s="11" t="inlineStr"/>
    </row>
    <row r="25">
      <c r="A25" s="11" t="inlineStr">
        <is>
          <t>C21</t>
        </is>
      </c>
      <c r="B25" s="11" t="inlineStr">
        <is>
          <t>Offerings</t>
        </is>
      </c>
      <c r="C25" s="11" t="inlineStr">
        <is>
          <t>Tooling</t>
        </is>
      </c>
      <c r="D25" s="11" t="inlineStr">
        <is>
          <t>2× faster to first shot</t>
        </is>
      </c>
      <c r="E25" s="11" t="inlineStr">
        <is>
          <t>Comparative</t>
        </is>
      </c>
      <c r="F25" s="15" t="inlineStr">
        <is>
          <t>Medium</t>
        </is>
      </c>
      <c r="G25" s="11" t="inlineStr">
        <is>
          <t>Unchanged</t>
        </is>
      </c>
      <c r="H25" s="11" t="inlineStr">
        <is>
          <t>Benchmark study</t>
        </is>
      </c>
      <c r="I25" s="14" t="inlineStr"/>
      <c r="J25" s="11" t="inlineStr">
        <is>
          <t>COO</t>
        </is>
      </c>
      <c r="K25" s="14" t="inlineStr"/>
      <c r="L25" s="11" t="inlineStr"/>
    </row>
    <row r="26">
      <c r="A26" s="11" t="inlineStr">
        <is>
          <t>C22</t>
        </is>
      </c>
      <c r="B26" s="11" t="inlineStr">
        <is>
          <t>Offerings</t>
        </is>
      </c>
      <c r="C26" s="11" t="inlineStr">
        <is>
          <t>Speed</t>
        </is>
      </c>
      <c r="D26" s="11" t="inlineStr">
        <is>
          <t>Quotes in 24–48h, parts in 3–5 days; Home: revert within 24 hrs</t>
        </is>
      </c>
      <c r="E26" s="11" t="inlineStr">
        <is>
          <t>Service promise</t>
        </is>
      </c>
      <c r="F26" s="16" t="inlineStr">
        <is>
          <t>Low</t>
        </is>
      </c>
      <c r="G26" s="11" t="inlineStr">
        <is>
          <t>Unchanged</t>
        </is>
      </c>
      <c r="H26" s="11" t="inlineStr">
        <is>
          <t>Quote turnaround log</t>
        </is>
      </c>
      <c r="I26" s="14" t="inlineStr"/>
      <c r="J26" s="11" t="inlineStr">
        <is>
          <t>Sales</t>
        </is>
      </c>
      <c r="K26" s="14" t="inlineStr"/>
      <c r="L26" s="11" t="inlineStr"/>
    </row>
    <row r="27">
      <c r="A27" s="11" t="inlineStr">
        <is>
          <t>C23</t>
        </is>
      </c>
      <c r="B27" s="11" t="inlineStr">
        <is>
          <t>Offerings</t>
        </is>
      </c>
      <c r="C27" s="11" t="inlineStr">
        <is>
          <t>Speed</t>
        </is>
      </c>
      <c r="D27" s="11" t="inlineStr">
        <is>
          <t>Committed date on the quote, and the date treated as the contract</t>
        </is>
      </c>
      <c r="E27" s="11" t="inlineStr">
        <is>
          <t>Contractual</t>
        </is>
      </c>
      <c r="F27" s="15" t="inlineStr">
        <is>
          <t>Medium</t>
        </is>
      </c>
      <c r="G27" s="11" t="inlineStr">
        <is>
          <t>Unchanged</t>
        </is>
      </c>
      <c r="H27" s="11" t="inlineStr">
        <is>
          <t>Standard T&amp;Cs</t>
        </is>
      </c>
      <c r="I27" s="14" t="inlineStr"/>
      <c r="J27" s="11" t="inlineStr">
        <is>
          <t>Counsel</t>
        </is>
      </c>
      <c r="K27" s="14" t="inlineStr"/>
      <c r="L27" s="11" t="inlineStr">
        <is>
          <t>Public contractual promise; confirm T&amp;Cs back it</t>
        </is>
      </c>
    </row>
    <row r="28">
      <c r="A28" s="11" t="inlineStr">
        <is>
          <t>C24</t>
        </is>
      </c>
      <c r="B28" s="11" t="inlineStr">
        <is>
          <t>Offerings</t>
        </is>
      </c>
      <c r="C28" s="11" t="inlineStr">
        <is>
          <t>Electronics</t>
        </is>
      </c>
      <c r="D28" s="11" t="inlineStr">
        <is>
          <t>up to MIL-STD-810 / 461 grade</t>
        </is>
      </c>
      <c r="E28" s="11" t="inlineStr">
        <is>
          <t>Technical</t>
        </is>
      </c>
      <c r="F28" s="15" t="inlineStr">
        <is>
          <t>Medium</t>
        </is>
      </c>
      <c r="G28" s="11" t="inlineStr">
        <is>
          <t>Unchanged</t>
        </is>
      </c>
      <c r="H28" s="11" t="inlineStr">
        <is>
          <t>Test reports</t>
        </is>
      </c>
      <c r="I28" s="14" t="inlineStr"/>
      <c r="J28" s="11" t="inlineStr">
        <is>
          <t>Quality head</t>
        </is>
      </c>
      <c r="K28" s="14" t="inlineStr"/>
      <c r="L28" s="11" t="inlineStr"/>
    </row>
    <row r="29">
      <c r="A29" s="11" t="inlineStr">
        <is>
          <t>C25</t>
        </is>
      </c>
      <c r="B29" s="11" t="inlineStr">
        <is>
          <t>Offerings</t>
        </is>
      </c>
      <c r="C29" s="11" t="inlineStr">
        <is>
          <t>Tooling</t>
        </is>
      </c>
      <c r="D29" s="11" t="inlineStr">
        <is>
          <t>Proven across automotive and aerospace customers</t>
        </is>
      </c>
      <c r="E29" s="11" t="inlineStr">
        <is>
          <t>Commercial</t>
        </is>
      </c>
      <c r="F29" s="16" t="inlineStr">
        <is>
          <t>Low</t>
        </is>
      </c>
      <c r="G29" s="11" t="inlineStr">
        <is>
          <t>Unchanged</t>
        </is>
      </c>
      <c r="H29" s="11" t="inlineStr">
        <is>
          <t>Customer POs</t>
        </is>
      </c>
      <c r="I29" s="14" t="inlineStr"/>
      <c r="J29" s="11" t="inlineStr">
        <is>
          <t>Sales</t>
        </is>
      </c>
      <c r="K29" s="14" t="inlineStr"/>
      <c r="L29" s="11" t="inlineStr"/>
    </row>
    <row r="30">
      <c r="A30" s="11" t="inlineStr">
        <is>
          <t>C26</t>
        </is>
      </c>
      <c r="B30" s="11" t="inlineStr">
        <is>
          <t>Case Studies</t>
        </is>
      </c>
      <c r="C30" s="11" t="inlineStr">
        <is>
          <t>Page kicker / hero</t>
        </is>
      </c>
      <c r="D30" s="11" t="inlineStr">
        <is>
          <t>Proof, not promises. / delivered, not promised</t>
        </is>
      </c>
      <c r="E30" s="11" t="inlineStr">
        <is>
          <t>Framing</t>
        </is>
      </c>
      <c r="F30" s="15" t="inlineStr">
        <is>
          <t>Medium</t>
        </is>
      </c>
      <c r="G30" s="11" t="inlineStr">
        <is>
          <t>Unchanged</t>
        </is>
      </c>
      <c r="H30" s="11" t="inlineStr">
        <is>
          <t>n/a</t>
        </is>
      </c>
      <c r="I30" s="14" t="inlineStr"/>
      <c r="J30" s="11" t="inlineStr">
        <is>
          <t>Counsel</t>
        </is>
      </c>
      <c r="K30" s="14" t="inlineStr"/>
      <c r="L30" s="11" t="inlineStr">
        <is>
          <t>Raises the bar for every number below</t>
        </is>
      </c>
    </row>
    <row r="31">
      <c r="A31" s="11" t="inlineStr">
        <is>
          <t>C27</t>
        </is>
      </c>
      <c r="B31" s="11" t="inlineStr">
        <is>
          <t>Case Studies, Case Messenger</t>
        </is>
      </c>
      <c r="C31" s="11" t="inlineStr">
        <is>
          <t>Case 01</t>
        </is>
      </c>
      <c r="D31" s="11" t="inlineStr">
        <is>
          <t>BNC Motors shown as a client</t>
        </is>
      </c>
      <c r="E31" s="11" t="inlineStr">
        <is>
          <t>Related party</t>
        </is>
      </c>
      <c r="F31" s="12" t="inlineStr">
        <is>
          <t>High</t>
        </is>
      </c>
      <c r="G31" s="13" t="inlineStr">
        <is>
          <t>Changed: labelled NEMI subsidiary, internal program</t>
        </is>
      </c>
      <c r="H31" s="11" t="inlineStr">
        <is>
          <t>n/a</t>
        </is>
      </c>
      <c r="I31" s="14" t="inlineStr"/>
      <c r="J31" s="11" t="inlineStr">
        <is>
          <t>CFO</t>
        </is>
      </c>
      <c r="K31" s="14" t="inlineStr"/>
      <c r="L31" s="11" t="inlineStr"/>
    </row>
    <row r="32">
      <c r="A32" s="11" t="inlineStr">
        <is>
          <t>C28</t>
        </is>
      </c>
      <c r="B32" s="11" t="inlineStr">
        <is>
          <t>Case Studies, Case Messenger</t>
        </is>
      </c>
      <c r="C32" s="11" t="inlineStr">
        <is>
          <t>Case 01</t>
        </is>
      </c>
      <c r="D32" s="11" t="inlineStr">
        <is>
          <t>↓ ~90% cost; $10M+ conventional vs &lt;$1M program cost</t>
        </is>
      </c>
      <c r="E32" s="11" t="inlineStr">
        <is>
          <t>Financial</t>
        </is>
      </c>
      <c r="F32" s="12" t="inlineStr">
        <is>
          <t>High</t>
        </is>
      </c>
      <c r="G32" s="11" t="inlineStr">
        <is>
          <t>Unchanged</t>
        </is>
      </c>
      <c r="H32" s="11" t="inlineStr">
        <is>
          <t>Program cost ledger + source of $10M+ benchmark</t>
        </is>
      </c>
      <c r="I32" s="14" t="inlineStr"/>
      <c r="J32" s="11" t="inlineStr">
        <is>
          <t>CFO</t>
        </is>
      </c>
      <c r="K32" s="14" t="inlineStr"/>
      <c r="L32" s="11" t="inlineStr"/>
    </row>
    <row r="33">
      <c r="A33" s="11" t="inlineStr">
        <is>
          <t>C29</t>
        </is>
      </c>
      <c r="B33" s="11" t="inlineStr">
        <is>
          <t>Case Messenger, LMM Stack</t>
        </is>
      </c>
      <c r="C33" s="11" t="inlineStr">
        <is>
          <t>Case 01</t>
        </is>
      </c>
      <c r="D33" s="11" t="inlineStr">
        <is>
          <t>18 → 9 months, 50% reduction, 'benchmarked'</t>
        </is>
      </c>
      <c r="E33" s="11" t="inlineStr">
        <is>
          <t>Performance</t>
        </is>
      </c>
      <c r="F33" s="12" t="inlineStr">
        <is>
          <t>High</t>
        </is>
      </c>
      <c r="G33" s="11" t="inlineStr">
        <is>
          <t>Unchanged</t>
        </is>
      </c>
      <c r="H33" s="11" t="inlineStr">
        <is>
          <t>Project plan actuals + benchmark source</t>
        </is>
      </c>
      <c r="I33" s="14" t="inlineStr"/>
      <c r="J33" s="11" t="inlineStr">
        <is>
          <t>COO</t>
        </is>
      </c>
      <c r="K33" s="14" t="inlineStr"/>
      <c r="L33" s="11" t="inlineStr"/>
    </row>
    <row r="34">
      <c r="A34" s="11" t="inlineStr">
        <is>
          <t>C30</t>
        </is>
      </c>
      <c r="B34" s="11" t="inlineStr">
        <is>
          <t>Case Studies, Case Messenger</t>
        </is>
      </c>
      <c r="C34" s="11" t="inlineStr">
        <is>
          <t>Case 01</t>
        </is>
      </c>
      <c r="D34" s="11" t="inlineStr">
        <is>
          <t>100% spec met; sub-$1,000 price point; 250 kg payload</t>
        </is>
      </c>
      <c r="E34" s="11" t="inlineStr">
        <is>
          <t>Performance</t>
        </is>
      </c>
      <c r="F34" s="12" t="inlineStr">
        <is>
          <t>High</t>
        </is>
      </c>
      <c r="G34" s="11" t="inlineStr">
        <is>
          <t>Unchanged</t>
        </is>
      </c>
      <c r="H34" s="11" t="inlineStr">
        <is>
          <t>Test report, BOM costing</t>
        </is>
      </c>
      <c r="I34" s="14" t="inlineStr"/>
      <c r="J34" s="11" t="inlineStr">
        <is>
          <t>CTO</t>
        </is>
      </c>
      <c r="K34" s="14" t="inlineStr"/>
      <c r="L34" s="11" t="inlineStr"/>
    </row>
    <row r="35">
      <c r="A35" s="11" t="inlineStr">
        <is>
          <t>C31</t>
        </is>
      </c>
      <c r="B35" s="11" t="inlineStr">
        <is>
          <t>Case Studies, Case PMI</t>
        </is>
      </c>
      <c r="C35" s="11" t="inlineStr">
        <is>
          <t>Case 02</t>
        </is>
      </c>
      <c r="D35" s="11" t="inlineStr">
        <is>
          <t>7 → 3 hrs runtime; 10–15 µm; ~15 / day across 2 machines; &lt;1 week to first supply</t>
        </is>
      </c>
      <c r="E35" s="11" t="inlineStr">
        <is>
          <t>Performance</t>
        </is>
      </c>
      <c r="F35" s="12" t="inlineStr">
        <is>
          <t>High</t>
        </is>
      </c>
      <c r="G35" s="11" t="inlineStr">
        <is>
          <t>Unchanged</t>
        </is>
      </c>
      <c r="H35" s="11" t="inlineStr">
        <is>
          <t>Machine logs, CMM reports, delivery records</t>
        </is>
      </c>
      <c r="I35" s="14" t="inlineStr"/>
      <c r="J35" s="11" t="inlineStr">
        <is>
          <t>COO</t>
        </is>
      </c>
      <c r="K35" s="14" t="inlineStr"/>
      <c r="L35" s="11" t="inlineStr">
        <is>
          <t>'~15 / day*' asterisk has no visible footnote on Case Studies</t>
        </is>
      </c>
    </row>
    <row r="36">
      <c r="A36" s="11" t="inlineStr">
        <is>
          <t>C32</t>
        </is>
      </c>
      <c r="B36" s="11" t="inlineStr">
        <is>
          <t>Case Studies, Case PMI</t>
        </is>
      </c>
      <c r="C36" s="11" t="inlineStr">
        <is>
          <t>Case 02</t>
        </is>
      </c>
      <c r="D36" s="11" t="inlineStr">
        <is>
          <t>Aerospace OEM ... supplies on an ongoing basis</t>
        </is>
      </c>
      <c r="E36" s="11" t="inlineStr">
        <is>
          <t>Commercial</t>
        </is>
      </c>
      <c r="F36" s="15" t="inlineStr">
        <is>
          <t>Medium</t>
        </is>
      </c>
      <c r="G36" s="11" t="inlineStr">
        <is>
          <t>Unchanged</t>
        </is>
      </c>
      <c r="H36" s="11" t="inlineStr">
        <is>
          <t>Current PO / supply agreement; customer consent to be referenced</t>
        </is>
      </c>
      <c r="I36" s="14" t="inlineStr"/>
      <c r="J36" s="11" t="inlineStr">
        <is>
          <t>Sales</t>
        </is>
      </c>
      <c r="K36" s="14" t="inlineStr"/>
      <c r="L36" s="11" t="inlineStr"/>
    </row>
    <row r="37">
      <c r="A37" s="11" t="inlineStr">
        <is>
          <t>C33</t>
        </is>
      </c>
      <c r="B37" s="11" t="inlineStr">
        <is>
          <t>Case Studies, Case Coffee</t>
        </is>
      </c>
      <c r="C37" s="11" t="inlineStr">
        <is>
          <t>Case 03</t>
        </is>
      </c>
      <c r="D37" s="11" t="inlineStr">
        <is>
          <t>12+ → 5 wks; &gt;$200k → ~$100k (~50% lower); −20% BOM; 400 / mo; zero tooling</t>
        </is>
      </c>
      <c r="E37" s="11" t="inlineStr">
        <is>
          <t>Performance / financial</t>
        </is>
      </c>
      <c r="F37" s="12" t="inlineStr">
        <is>
          <t>High</t>
        </is>
      </c>
      <c r="G37" s="11" t="inlineStr">
        <is>
          <t>Unchanged</t>
        </is>
      </c>
      <c r="H37" s="11" t="inlineStr">
        <is>
          <t>Project records; customer's alternate quotes (per footnote)</t>
        </is>
      </c>
      <c r="I37" s="14" t="inlineStr"/>
      <c r="J37" s="11" t="inlineStr">
        <is>
          <t>COO</t>
        </is>
      </c>
      <c r="K37" s="14" t="inlineStr"/>
      <c r="L37" s="11" t="inlineStr">
        <is>
          <t>Footnote relies on customer-shared data: get written consent</t>
        </is>
      </c>
    </row>
    <row r="38">
      <c r="A38" s="11" t="inlineStr">
        <is>
          <t>C34</t>
        </is>
      </c>
      <c r="B38" s="11" t="inlineStr">
        <is>
          <t>Case Studies, Case Drone</t>
        </is>
      </c>
      <c r="C38" s="11" t="inlineStr">
        <is>
          <t>Case 04</t>
        </is>
      </c>
      <c r="D38" s="11" t="inlineStr">
        <is>
          <t>16 → 4 mo; $500k → $100k (5× lower); 4/4 in-house; −20% BOM</t>
        </is>
      </c>
      <c r="E38" s="11" t="inlineStr">
        <is>
          <t>Performance / financial</t>
        </is>
      </c>
      <c r="F38" s="12" t="inlineStr">
        <is>
          <t>High</t>
        </is>
      </c>
      <c r="G38" s="11" t="inlineStr">
        <is>
          <t>Unchanged</t>
        </is>
      </c>
      <c r="H38" s="11" t="inlineStr">
        <is>
          <t>Project ledger, benchmark source</t>
        </is>
      </c>
      <c r="I38" s="14" t="inlineStr"/>
      <c r="J38" s="11" t="inlineStr">
        <is>
          <t>CFO</t>
        </is>
      </c>
      <c r="K38" s="14" t="inlineStr"/>
      <c r="L38" s="11" t="inlineStr"/>
    </row>
    <row r="39">
      <c r="A39" s="11" t="inlineStr">
        <is>
          <t>C35</t>
        </is>
      </c>
      <c r="B39" s="11" t="inlineStr">
        <is>
          <t>Case Drone</t>
        </is>
      </c>
      <c r="C39" s="11" t="inlineStr">
        <is>
          <t>Client block</t>
        </is>
      </c>
      <c r="D39" s="11" t="inlineStr">
        <is>
          <t>Bengaluru-based, founded 1997, AS9100D + CEMILAC, partner to leading defense and space agencies</t>
        </is>
      </c>
      <c r="E39" s="11" t="inlineStr">
        <is>
          <t>Customer identity</t>
        </is>
      </c>
      <c r="F39" s="12" t="inlineStr">
        <is>
          <t>High</t>
        </is>
      </c>
      <c r="G39" s="13" t="inlineStr">
        <is>
          <t>Changed: genuinely anonymised</t>
        </is>
      </c>
      <c r="H39" s="11" t="inlineStr">
        <is>
          <t>Written permission if we want to name them</t>
        </is>
      </c>
      <c r="I39" s="14" t="inlineStr"/>
      <c r="J39" s="11" t="inlineStr">
        <is>
          <t>CEO</t>
        </is>
      </c>
      <c r="K39" s="14" t="inlineStr"/>
      <c r="L39" s="11" t="inlineStr">
        <is>
          <t>Identifying in practice</t>
        </is>
      </c>
    </row>
    <row r="40">
      <c r="A40" s="11" t="inlineStr">
        <is>
          <t>C36</t>
        </is>
      </c>
      <c r="B40" s="11" t="inlineStr">
        <is>
          <t>Case Drone</t>
        </is>
      </c>
      <c r="C40" s="11" t="inlineStr">
        <is>
          <t>Body</t>
        </is>
      </c>
      <c r="D40" s="11" t="inlineStr">
        <is>
          <t>MIL-grade (MIL-STD-810 / 461) controller</t>
        </is>
      </c>
      <c r="E40" s="11" t="inlineStr">
        <is>
          <t>Technical</t>
        </is>
      </c>
      <c r="F40" s="15" t="inlineStr">
        <is>
          <t>Medium</t>
        </is>
      </c>
      <c r="G40" s="11" t="inlineStr">
        <is>
          <t>Unchanged</t>
        </is>
      </c>
      <c r="H40" s="11" t="inlineStr">
        <is>
          <t>Qualification test reports</t>
        </is>
      </c>
      <c r="I40" s="14" t="inlineStr"/>
      <c r="J40" s="11" t="inlineStr">
        <is>
          <t>CTO</t>
        </is>
      </c>
      <c r="K40" s="14" t="inlineStr"/>
      <c r="L40" s="11" t="inlineStr"/>
    </row>
    <row r="41">
      <c r="A41" s="11" t="inlineStr">
        <is>
          <t>C37</t>
        </is>
      </c>
      <c r="B41" s="11" t="inlineStr">
        <is>
          <t>About</t>
        </is>
      </c>
      <c r="C41" s="11" t="inlineStr">
        <is>
          <t>Team bios</t>
        </is>
      </c>
      <c r="D41" s="11" t="inlineStr">
        <is>
          <t>Yale, McKinsey; Meta Quest 100M+; 20+ / 30+ / 27+ years; ex-employers</t>
        </is>
      </c>
      <c r="E41" s="11" t="inlineStr">
        <is>
          <t>Biographical</t>
        </is>
      </c>
      <c r="F41" s="15" t="inlineStr">
        <is>
          <t>Medium</t>
        </is>
      </c>
      <c r="G41" s="11" t="inlineStr">
        <is>
          <t>Unchanged</t>
        </is>
      </c>
      <c r="H41" s="11" t="inlineStr">
        <is>
          <t>Each person signs off their bio; match S-4 word for word</t>
        </is>
      </c>
      <c r="I41" s="14" t="inlineStr"/>
      <c r="J41" s="11" t="inlineStr">
        <is>
          <t>Counsel</t>
        </is>
      </c>
      <c r="K41" s="14" t="inlineStr"/>
      <c r="L41" s="11" t="inlineStr"/>
    </row>
    <row r="42">
      <c r="A42" s="11" t="inlineStr">
        <is>
          <t>C38</t>
        </is>
      </c>
      <c r="B42" s="11" t="inlineStr">
        <is>
          <t>About</t>
        </is>
      </c>
      <c r="C42" s="11" t="inlineStr">
        <is>
          <t>Advisory bench</t>
        </is>
      </c>
      <c r="D42" s="11" t="inlineStr">
        <is>
          <t>Ex-CEO Ashok Leyland, McKinsey Sr Partner, AXISCADES chairman, board roles</t>
        </is>
      </c>
      <c r="E42" s="11" t="inlineStr">
        <is>
          <t>Biographical / association</t>
        </is>
      </c>
      <c r="F42" s="15" t="inlineStr">
        <is>
          <t>Medium</t>
        </is>
      </c>
      <c r="G42" s="11" t="inlineStr">
        <is>
          <t>Unchanged</t>
        </is>
      </c>
      <c r="H42" s="11" t="inlineStr">
        <is>
          <t>Signed advisor agreements + written consent to be named</t>
        </is>
      </c>
      <c r="I42" s="14" t="inlineStr"/>
      <c r="J42" s="11" t="inlineStr">
        <is>
          <t>CEO</t>
        </is>
      </c>
      <c r="K42" s="14" t="inlineStr"/>
      <c r="L42" s="11" t="inlineStr">
        <is>
          <t>'Non-exec board' label must match actual board seat</t>
        </is>
      </c>
    </row>
    <row r="43">
      <c r="A43" s="11" t="inlineStr">
        <is>
          <t>C39</t>
        </is>
      </c>
      <c r="B43" s="11" t="inlineStr">
        <is>
          <t>Invest + deck</t>
        </is>
      </c>
      <c r="C43" s="11" t="inlineStr">
        <is>
          <t>Invest page / invest.nemilmm.com</t>
        </is>
      </c>
      <c r="D43" s="11" t="inlineStr">
        <is>
          <t>Coming soon; deck sends investors to blank invest.nemilmm.com</t>
        </is>
      </c>
      <c r="E43" s="11" t="inlineStr">
        <is>
          <t>Offering</t>
        </is>
      </c>
      <c r="F43" s="12" t="inlineStr">
        <is>
          <t>High</t>
        </is>
      </c>
      <c r="G43" s="11" t="inlineStr">
        <is>
          <t>Unchanged</t>
        </is>
      </c>
      <c r="H43" s="11" t="inlineStr">
        <is>
          <t>Decision: gated NDA+accreditation portal, or remove link</t>
        </is>
      </c>
      <c r="I43" s="14" t="inlineStr"/>
      <c r="J43" s="11" t="inlineStr">
        <is>
          <t>CEO + counsel</t>
        </is>
      </c>
      <c r="K43" s="14" t="inlineStr"/>
      <c r="L43" s="11" t="inlineStr">
        <is>
          <t>Decide this week</t>
        </is>
      </c>
    </row>
  </sheetData>
  <autoFilter ref="A4:L43"/>
  <conditionalFormatting sqref="K5:K43">
    <cfRule type="expression" priority="1" dxfId="0">
      <formula>LEFT($K5,7)="Cleared"</formula>
    </cfRule>
    <cfRule type="expression" priority="2" dxfId="1">
      <formula>$K5="Remove claim"</formula>
    </cfRule>
  </conditionalFormatting>
  <dataValidations count="1">
    <dataValidation sqref="K5:K43" showDropDown="0" showInputMessage="0" showErrorMessage="0" allowBlank="1" type="list">
      <formula1>"Pending,Cleared,Cleared with edits,Remove claim"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4" customWidth="1" min="3" max="3"/>
    <col width="60" customWidth="1" min="4" max="4"/>
    <col width="40" customWidth="1" min="5" max="5"/>
    <col width="14" customWidth="1" min="6" max="6"/>
    <col width="11" customWidth="1" min="7" max="7"/>
  </cols>
  <sheetData>
    <row r="1">
      <c r="A1" s="1" t="inlineStr">
        <is>
          <t>Site change log (S-4 process)</t>
        </is>
      </c>
    </row>
    <row r="2">
      <c r="A2" s="10" t="inlineStr">
        <is>
          <t>Log every change before it goes live. Purpose: show nothing changed because of the offering.</t>
        </is>
      </c>
    </row>
    <row r="4">
      <c r="A4" s="2" t="inlineStr">
        <is>
          <t>Date</t>
        </is>
      </c>
      <c r="B4" s="2" t="inlineStr">
        <is>
          <t>Branch / commit</t>
        </is>
      </c>
      <c r="C4" s="2" t="inlineStr">
        <is>
          <t>Pages</t>
        </is>
      </c>
      <c r="D4" s="2" t="inlineStr">
        <is>
          <t>Change</t>
        </is>
      </c>
      <c r="E4" s="2" t="inlineStr">
        <is>
          <t>Reason</t>
        </is>
      </c>
      <c r="F4" s="2" t="inlineStr">
        <is>
          <t>Counsel cleared</t>
        </is>
      </c>
      <c r="G4" s="2" t="inlineStr">
        <is>
          <t>Live on</t>
        </is>
      </c>
    </row>
    <row r="5">
      <c r="A5" s="11" t="inlineStr">
        <is>
          <t>2026-09-22</t>
        </is>
      </c>
      <c r="B5" s="11" t="inlineStr">
        <is>
          <t>NemiLMM-S4</t>
        </is>
      </c>
      <c r="C5" s="11" t="inlineStr">
        <is>
          <t>about, master-plan</t>
        </is>
      </c>
      <c r="D5" s="11" t="inlineStr">
        <is>
          <t>CEO bio: "Built NEMI greenfield to 300k sq ft" to "Acquired and expanded NEMI's manufacturing base to over 300,000 sq ft"</t>
        </is>
      </c>
      <c r="E5" s="11" t="inlineStr">
        <is>
          <t>Accuracy: MaaS business was acquired, per our own letter and deck</t>
        </is>
      </c>
      <c r="F5" s="11" t="inlineStr">
        <is>
          <t>Pending</t>
        </is>
      </c>
      <c r="G5" s="11" t="inlineStr">
        <is>
          <t>Not live</t>
        </is>
      </c>
    </row>
    <row r="6">
      <c r="A6" s="11" t="inlineStr">
        <is>
          <t>2026-09-22</t>
        </is>
      </c>
      <c r="B6" s="11" t="inlineStr">
        <is>
          <t>NemiLMM-S4</t>
        </is>
      </c>
      <c r="C6" s="11" t="inlineStr">
        <is>
          <t>home, about, master-plan</t>
        </is>
      </c>
      <c r="D6" s="11" t="inlineStr">
        <is>
          <t>Removed "profitably, today" and softened "MaaS is profitable on its own", "throws off real cash", "a business that already works"</t>
        </is>
      </c>
      <c r="E6" s="11" t="inlineStr">
        <is>
          <t>Consolidated financials show losses; unqualified claim will not match S-4</t>
        </is>
      </c>
      <c r="F6" s="11" t="inlineStr">
        <is>
          <t>Pending</t>
        </is>
      </c>
      <c r="G6" s="11" t="inlineStr">
        <is>
          <t>Not live</t>
        </is>
      </c>
    </row>
    <row r="7">
      <c r="A7" s="11" t="inlineStr">
        <is>
          <t>2026-09-22</t>
        </is>
      </c>
      <c r="B7" s="11" t="inlineStr">
        <is>
          <t>NemiLMM-S4</t>
        </is>
      </c>
      <c r="C7" s="11" t="inlineStr">
        <is>
          <t>about, master-plan</t>
        </is>
      </c>
      <c r="D7" s="11" t="inlineStr">
        <is>
          <t>"The only way" to "We believe the most reliable way"; cellphone line reframed as ambition</t>
        </is>
      </c>
      <c r="E7" s="11" t="inlineStr">
        <is>
          <t>Absolutes / predictions</t>
        </is>
      </c>
      <c r="F7" s="11" t="inlineStr">
        <is>
          <t>Pending</t>
        </is>
      </c>
      <c r="G7" s="11" t="inlineStr">
        <is>
          <t>Not live</t>
        </is>
      </c>
    </row>
    <row r="8">
      <c r="A8" s="11" t="inlineStr">
        <is>
          <t>2026-09-22</t>
        </is>
      </c>
      <c r="B8" s="11" t="inlineStr">
        <is>
          <t>NemiLMM-S4</t>
        </is>
      </c>
      <c r="C8" s="11" t="inlineStr">
        <is>
          <t>about, master-plan</t>
        </is>
      </c>
      <c r="D8" s="11" t="inlineStr">
        <is>
          <t>Added forward-looking statements note under the letter (placeholder wording)</t>
        </is>
      </c>
      <c r="E8" s="11" t="inlineStr">
        <is>
          <t>No disclosure on a forward-looking letter</t>
        </is>
      </c>
      <c r="F8" s="11" t="inlineStr">
        <is>
          <t>Pending</t>
        </is>
      </c>
      <c r="G8" s="11" t="inlineStr">
        <is>
          <t>Not live</t>
        </is>
      </c>
    </row>
    <row r="9">
      <c r="A9" s="11" t="inlineStr">
        <is>
          <t>2026-09-22</t>
        </is>
      </c>
      <c r="B9" s="11" t="inlineStr">
        <is>
          <t>NemiLMM-S4</t>
        </is>
      </c>
      <c r="C9" s="11" t="inlineStr">
        <is>
          <t>home</t>
        </is>
      </c>
      <c r="D9" s="11" t="inlineStr">
        <is>
          <t>"Our LMM runs all of them / every deployment compounds" to "is built to run / designed to feed back"; removed "Live" badges from Anvil, Orion, Atlas</t>
        </is>
      </c>
      <c r="E9" s="11" t="inlineStr">
        <is>
          <t>Product status not yet evidenced</t>
        </is>
      </c>
      <c r="F9" s="11" t="inlineStr">
        <is>
          <t>Pending</t>
        </is>
      </c>
      <c r="G9" s="11" t="inlineStr">
        <is>
          <t>Not live</t>
        </is>
      </c>
    </row>
    <row r="10">
      <c r="A10" s="11" t="inlineStr">
        <is>
          <t>2026-09-22</t>
        </is>
      </c>
      <c r="B10" s="11" t="inlineStr">
        <is>
          <t>NemiLMM-S4</t>
        </is>
      </c>
      <c r="C10" s="11" t="inlineStr">
        <is>
          <t>offerings</t>
        </is>
      </c>
      <c r="D10" s="11" t="inlineStr">
        <is>
          <t>"9 category factories" to "9 manufacturing categories" (stat + meta)</t>
        </is>
      </c>
      <c r="E10" s="11" t="inlineStr">
        <is>
          <t>Implied 9 operating factories</t>
        </is>
      </c>
      <c r="F10" s="11" t="inlineStr">
        <is>
          <t>Pending</t>
        </is>
      </c>
      <c r="G10" s="11" t="inlineStr">
        <is>
          <t>Not live</t>
        </is>
      </c>
    </row>
    <row r="11">
      <c r="A11" s="11" t="inlineStr">
        <is>
          <t>2026-09-22</t>
        </is>
      </c>
      <c r="B11" s="11" t="inlineStr">
        <is>
          <t>NemiLMM-S4</t>
        </is>
      </c>
      <c r="C11" s="11" t="inlineStr">
        <is>
          <t>case-studies, case-messenger</t>
        </is>
      </c>
      <c r="D11" s="11" t="inlineStr">
        <is>
          <t>BNC labelled as NEMI subsidiary / internal program</t>
        </is>
      </c>
      <c r="E11" s="11" t="inlineStr">
        <is>
          <t>Related-party result shown beside third-party cases</t>
        </is>
      </c>
      <c r="F11" s="11" t="inlineStr">
        <is>
          <t>Pending</t>
        </is>
      </c>
      <c r="G11" s="11" t="inlineStr">
        <is>
          <t>Not live</t>
        </is>
      </c>
    </row>
    <row r="12">
      <c r="A12" s="11" t="inlineStr">
        <is>
          <t>2026-09-22</t>
        </is>
      </c>
      <c r="B12" s="11" t="inlineStr">
        <is>
          <t>NemiLMM-S4</t>
        </is>
      </c>
      <c r="C12" s="11" t="inlineStr">
        <is>
          <t>case-drone</t>
        </is>
      </c>
      <c r="D12" s="11" t="inlineStr">
        <is>
          <t>Removed Bengaluru, 1997, CEMILAC, "partner to India's leading defense and space agencies"</t>
        </is>
      </c>
      <c r="E12" s="11" t="inlineStr">
        <is>
          <t>Customer identifiable without written permission</t>
        </is>
      </c>
      <c r="F12" s="11" t="inlineStr">
        <is>
          <t>Pending</t>
        </is>
      </c>
      <c r="G12" s="11" t="inlineStr">
        <is>
          <t>Not live</t>
        </is>
      </c>
    </row>
    <row r="13">
      <c r="A13" s="11" t="inlineStr">
        <is>
          <t>2026-09-22</t>
        </is>
      </c>
      <c r="B13" s="11" t="inlineStr">
        <is>
          <t>NemiLMM-S4</t>
        </is>
      </c>
      <c r="C13" s="11" t="inlineStr">
        <is>
          <t>netlify.toml</t>
        </is>
      </c>
      <c r="D13" s="11" t="inlineStr">
        <is>
          <t>/_s4/* blocked from being served</t>
        </is>
      </c>
      <c r="E13" s="11" t="inlineStr">
        <is>
          <t>Keep drafts and audit off the public site</t>
        </is>
      </c>
      <c r="F13" s="11" t="inlineStr">
        <is>
          <t>n/a</t>
        </is>
      </c>
      <c r="G13" s="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2026-09-22T05:53:34Z</dcterms:created>
  <dcterms:modified xmlns:dcterms="http://purl.org/dc/terms/" xmlns:xsi="http://www.w3.org/2001/XMLSchema-instance" xsi:type="dcterms:W3CDTF">2026-09-22T05:53:34Z</dcterms:modified>
</cp:coreProperties>
</file>