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nge Log" sheetId="2" state="visible" r:id="rId2"/>
    <sheet xmlns:r="http://schemas.openxmlformats.org/officeDocument/2006/relationships" name="Plan Tracker" sheetId="3" state="visible" r:id="rId3"/>
    <sheet xmlns:r="http://schemas.openxmlformats.org/officeDocument/2006/relationships" name="Deck vs Site" sheetId="4" state="visible" r:id="rId4"/>
    <sheet xmlns:r="http://schemas.openxmlformats.org/officeDocument/2006/relationships" name="Open Items" sheetId="5" state="visible" r:id="rId5"/>
  </sheets>
  <definedNames>
    <definedName name="_xlnm._FilterDatabase" localSheetId="1" hidden="1">'Change Log'!$A$4:$L$28</definedName>
    <definedName name="_xlnm._FilterDatabase" localSheetId="2" hidden="1">'Plan Tracker'!$A$4:$G$25</definedName>
    <definedName name="_xlnm._FilterDatabase" localSheetId="3" hidden="1">'Deck vs Site'!$A$4:$G$23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5D47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0"/>
    </font>
    <font>
      <name val="Arial"/>
      <sz val="10"/>
    </font>
    <font>
      <name val="Arial"/>
      <b val="1"/>
      <color rgb="000B5D47"/>
    </font>
  </fonts>
  <fills count="7">
    <fill>
      <patternFill/>
    </fill>
    <fill>
      <patternFill patternType="gray125"/>
    </fill>
    <fill>
      <patternFill patternType="solid">
        <fgColor rgb="000B5D47"/>
      </patternFill>
    </fill>
    <fill>
      <patternFill patternType="solid">
        <fgColor rgb="00FFFDF5"/>
      </patternFill>
    </fill>
    <fill>
      <patternFill patternType="solid">
        <fgColor rgb="00C9E8D8"/>
      </patternFill>
    </fill>
    <fill>
      <patternFill patternType="solid">
        <fgColor rgb="00FFF1C2"/>
      </patternFill>
    </fill>
    <fill>
      <patternFill patternType="solid">
        <fgColor rgb="00F8D7D3"/>
      </patternFill>
    </fill>
  </fills>
  <borders count="2">
    <border>
      <left/>
      <right/>
      <top/>
      <bottom/>
      <diagonal/>
    </border>
    <border>
      <left style="thin">
        <color rgb="00D9D4CA"/>
      </left>
      <right style="thin">
        <color rgb="00D9D4CA"/>
      </right>
      <top style="thin">
        <color rgb="00D9D4CA"/>
      </top>
      <bottom style="thin">
        <color rgb="00D9D4C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9E8D8"/>
        </patternFill>
      </fill>
    </dxf>
    <dxf>
      <fill>
        <patternFill patternType="solid">
          <fgColor rgb="00FFF1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5" customWidth="1" min="4" max="4"/>
    <col width="17" customWidth="1" min="5" max="5"/>
    <col width="20" customWidth="1" min="6" max="6"/>
  </cols>
  <sheetData>
    <row r="1">
      <c r="A1" s="1" t="inlineStr">
        <is>
          <t>S-4 change log · summary</t>
        </is>
      </c>
    </row>
    <row r="2">
      <c r="A2" s="2" t="inlineStr">
        <is>
          <t>BCA-Ready branch, as of 23 Sep 2026. Nothing is live: main and nemilmm.com are untouched.</t>
        </is>
      </c>
    </row>
    <row r="4" ht="30" customHeight="1">
      <c r="A4" s="3" t="inlineStr">
        <is>
          <t>Tracker</t>
        </is>
      </c>
      <c r="B4" s="3" t="inlineStr">
        <is>
          <t>Items</t>
        </is>
      </c>
      <c r="C4" s="3" t="inlineStr">
        <is>
          <t>Done</t>
        </is>
      </c>
      <c r="D4" s="3" t="inlineStr">
        <is>
          <t>Open / partly</t>
        </is>
      </c>
      <c r="E4" s="3" t="inlineStr">
        <is>
          <t>Blocked or due</t>
        </is>
      </c>
      <c r="F4" s="3" t="inlineStr">
        <is>
          <t>Cleared by counsel</t>
        </is>
      </c>
    </row>
    <row r="5">
      <c r="A5" s="4" t="inlineStr">
        <is>
          <t>Plan document</t>
        </is>
      </c>
      <c r="B5" s="5">
        <f>25-4</f>
        <v/>
      </c>
      <c r="C5" s="6">
        <f>COUNTIF('Plan Tracker'!$D$5:$D$25,"Done*")</f>
        <v/>
      </c>
      <c r="D5" s="5">
        <f>COUNTIF('Plan Tracker'!$D$5:$D$25,"Open")+COUNTIF('Plan Tracker'!$D$5:$D$25,"Partly done")</f>
        <v/>
      </c>
      <c r="E5" s="7">
        <f>COUNTIF('Plan Tracker'!$D$5:$D$25,"Blocked")+COUNTIF('Plan Tracker'!$D$5:$D$25,"Decision due")+COUNTIF('Plan Tracker'!$D$5:$D$25,"Not started")</f>
        <v/>
      </c>
      <c r="F5" s="5" t="inlineStr"/>
    </row>
    <row r="6">
      <c r="A6" s="4" t="inlineStr">
        <is>
          <t>Deck vs site</t>
        </is>
      </c>
      <c r="B6" s="5">
        <f>23-4</f>
        <v/>
      </c>
      <c r="C6" s="6">
        <f>COUNTIF('Deck vs Site'!$F$5:$F$23,"Done*")</f>
        <v/>
      </c>
      <c r="D6" s="5">
        <f>COUNTIF('Deck vs Site'!$F$5:$F$23,"Open")</f>
        <v/>
      </c>
      <c r="E6" s="7">
        <f>COUNTIF('Deck vs Site'!$F$5:$F$23,"Blocked")</f>
        <v/>
      </c>
      <c r="F6" s="5" t="inlineStr"/>
    </row>
    <row r="7">
      <c r="A7" s="4" t="inlineStr">
        <is>
          <t>Changes made</t>
        </is>
      </c>
      <c r="B7" s="5" t="n">
        <v>24</v>
      </c>
      <c r="C7" s="6" t="n">
        <v>24</v>
      </c>
      <c r="D7" s="5" t="inlineStr">
        <is>
          <t>0</t>
        </is>
      </c>
      <c r="E7" s="7" t="inlineStr">
        <is>
          <t>0</t>
        </is>
      </c>
      <c r="F7" s="5">
        <f>COUNTIF('Change Log'!$K$5:$K$28,"Cleared*")</f>
        <v/>
      </c>
    </row>
    <row r="8">
      <c r="A8" s="4" t="inlineStr">
        <is>
          <t>Open items</t>
        </is>
      </c>
      <c r="B8" s="5">
        <f>14-4</f>
        <v/>
      </c>
      <c r="C8" s="6" t="inlineStr">
        <is>
          <t>0</t>
        </is>
      </c>
      <c r="D8" s="5" t="inlineStr">
        <is>
          <t>0</t>
        </is>
      </c>
      <c r="E8" s="7">
        <f>14-4</f>
        <v/>
      </c>
      <c r="F8" s="5" t="inlineStr"/>
    </row>
    <row r="10">
      <c r="A10" s="8" t="inlineStr">
        <is>
          <t>Decisions due this week</t>
        </is>
      </c>
    </row>
    <row r="11">
      <c r="A11" s="9" t="inlineStr">
        <is>
          <t>- invest.nemilmm.com: gated portal or remove the link (CEO + counsel). The deck's SAFE deadline is 30 Sep 2026</t>
        </is>
      </c>
    </row>
    <row r="12">
      <c r="A12" s="9" t="inlineStr">
        <is>
          <t>- Who signs off the evidence audit, and when counsel starts pre-clearing site changes</t>
        </is>
      </c>
    </row>
    <row r="13">
      <c r="A13" s="9" t="inlineStr">
        <is>
          <t>- Whether the deck gets the same fixes as the site: greenfield bio, DRDO quote, EV cost figure</t>
        </is>
      </c>
    </row>
    <row r="15">
      <c r="A15" s="2" t="inlineStr">
        <is>
          <t>Status words: Done on branch = changed, not live. Open = needs work. Blocked = needs a fact, a document or a decision.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22" customWidth="1" min="4" max="4"/>
    <col width="34" customWidth="1" min="5" max="5"/>
    <col width="40" customWidth="1" min="6" max="6"/>
    <col width="40" customWidth="1" min="7" max="7"/>
    <col width="34" customWidth="1" min="8" max="8"/>
    <col width="18" customWidth="1" min="9" max="9"/>
    <col width="14" customWidth="1" min="10" max="10"/>
    <col width="15" customWidth="1" min="11" max="11"/>
    <col width="11" customWidth="1" min="12" max="12"/>
  </cols>
  <sheetData>
    <row r="1">
      <c r="A1" s="1" t="inlineStr">
        <is>
          <t>NEMI LMM site change log (S-4 process)</t>
        </is>
      </c>
    </row>
    <row r="2">
      <c r="A2" s="2" t="inlineStr">
        <is>
          <t>Every change to nemilmm.com from 22 Sep 2026 until closing. Purpose: show that nothing changed because of the offering. Nothing below is live yet.</t>
        </is>
      </c>
    </row>
    <row r="4" ht="30" customHeight="1">
      <c r="A4" s="3" t="inlineStr">
        <is>
          <t>#</t>
        </is>
      </c>
      <c r="B4" s="3" t="inlineStr">
        <is>
          <t>Date</t>
        </is>
      </c>
      <c r="C4" s="3" t="inlineStr">
        <is>
          <t>Commit</t>
        </is>
      </c>
      <c r="D4" s="3" t="inlineStr">
        <is>
          <t>Page(s)</t>
        </is>
      </c>
      <c r="E4" s="3" t="inlineStr">
        <is>
          <t>What changed</t>
        </is>
      </c>
      <c r="F4" s="3" t="inlineStr">
        <is>
          <t>Before</t>
        </is>
      </c>
      <c r="G4" s="3" t="inlineStr">
        <is>
          <t>After</t>
        </is>
      </c>
      <c r="H4" s="3" t="inlineStr">
        <is>
          <t>Why</t>
        </is>
      </c>
      <c r="I4" s="3" t="inlineStr">
        <is>
          <t>Source</t>
        </is>
      </c>
      <c r="J4" s="3" t="inlineStr">
        <is>
          <t>Owner</t>
        </is>
      </c>
      <c r="K4" s="3" t="inlineStr">
        <is>
          <t>Counsel sign-off</t>
        </is>
      </c>
      <c r="L4" s="3" t="inlineStr">
        <is>
          <t>Live on site</t>
        </is>
      </c>
    </row>
    <row r="5">
      <c r="A5" s="10" t="n">
        <v>1</v>
      </c>
      <c r="B5" s="10" t="inlineStr">
        <is>
          <t>2026-09-22</t>
        </is>
      </c>
      <c r="C5" s="10" t="inlineStr">
        <is>
          <t>b616f12</t>
        </is>
      </c>
      <c r="D5" s="10" t="inlineStr">
        <is>
          <t>about.html</t>
        </is>
      </c>
      <c r="E5" s="10" t="inlineStr">
        <is>
          <t>CEO bio corrected</t>
        </is>
      </c>
      <c r="F5" s="10" t="inlineStr">
        <is>
          <t>Built NEMI greenfield to 300k sq ft</t>
        </is>
      </c>
      <c r="G5" s="10" t="inlineStr">
        <is>
          <t>Acquired and expanded NEMI's manufacturing base to over 300,000 sq ft</t>
        </is>
      </c>
      <c r="H5" s="10" t="inlineStr">
        <is>
          <t>MaaS business was acquired 2 years ago; greenfield contradicts the letter and the deck</t>
        </is>
      </c>
      <c r="I5" s="10" t="inlineStr">
        <is>
          <t>Plan: fix table</t>
        </is>
      </c>
      <c r="J5" s="10" t="inlineStr">
        <is>
          <t>CFO</t>
        </is>
      </c>
      <c r="K5" s="11" t="inlineStr">
        <is>
          <t>Pending</t>
        </is>
      </c>
      <c r="L5" s="11" t="inlineStr">
        <is>
          <t>No</t>
        </is>
      </c>
    </row>
    <row r="6">
      <c r="A6" s="10" t="n">
        <v>2</v>
      </c>
      <c r="B6" s="10" t="inlineStr">
        <is>
          <t>2026-09-22</t>
        </is>
      </c>
      <c r="C6" s="10" t="inlineStr">
        <is>
          <t>b616f12</t>
        </is>
      </c>
      <c r="D6" s="10" t="inlineStr">
        <is>
          <t>home, about, master-plan</t>
        </is>
      </c>
      <c r="E6" s="10" t="inlineStr">
        <is>
          <t>Profitability claim removed</t>
        </is>
      </c>
      <c r="F6" s="10" t="inlineStr">
        <is>
          <t>sell Manufacturing-as-a-Service, profitably, today</t>
        </is>
      </c>
      <c r="G6" s="10" t="inlineStr">
        <is>
          <t>sell Manufacturing-as-a-Service to outside customers</t>
        </is>
      </c>
      <c r="H6" s="10" t="inlineStr">
        <is>
          <t>Consolidated financials show losses; deck says EBITDA-positive only by CY28E</t>
        </is>
      </c>
      <c r="I6" s="10" t="inlineStr">
        <is>
          <t>Plan: fix table</t>
        </is>
      </c>
      <c r="J6" s="10" t="inlineStr">
        <is>
          <t>CFO</t>
        </is>
      </c>
      <c r="K6" s="11" t="inlineStr">
        <is>
          <t>Pending</t>
        </is>
      </c>
      <c r="L6" s="11" t="inlineStr">
        <is>
          <t>No</t>
        </is>
      </c>
    </row>
    <row r="7">
      <c r="A7" s="10" t="n">
        <v>3</v>
      </c>
      <c r="B7" s="10" t="inlineStr">
        <is>
          <t>2026-09-22</t>
        </is>
      </c>
      <c r="C7" s="10" t="inlineStr">
        <is>
          <t>b616f12</t>
        </is>
      </c>
      <c r="D7" s="10" t="inlineStr">
        <is>
          <t>about, master-plan</t>
        </is>
      </c>
      <c r="E7" s="10" t="inlineStr">
        <is>
          <t>Letter profitability lines softened</t>
        </is>
      </c>
      <c r="F7" s="10" t="inlineStr">
        <is>
          <t>MaaS is profitable on its own / throws off real cash / a business that already works</t>
        </is>
      </c>
      <c r="G7" s="10" t="inlineStr">
        <is>
          <t>we believe MaaS can stand on its own / has historically carried higher margins / an operating manufacturing business</t>
        </is>
      </c>
      <c r="H7" s="10" t="inlineStr">
        <is>
          <t>Same reason; unqualified claims will not match the S-4</t>
        </is>
      </c>
      <c r="I7" s="10" t="inlineStr">
        <is>
          <t>Plan: fix table</t>
        </is>
      </c>
      <c r="J7" s="10" t="inlineStr">
        <is>
          <t>CFO</t>
        </is>
      </c>
      <c r="K7" s="11" t="inlineStr">
        <is>
          <t>Pending</t>
        </is>
      </c>
      <c r="L7" s="11" t="inlineStr">
        <is>
          <t>No</t>
        </is>
      </c>
    </row>
    <row r="8">
      <c r="A8" s="10" t="n">
        <v>4</v>
      </c>
      <c r="B8" s="10" t="inlineStr">
        <is>
          <t>2026-09-22</t>
        </is>
      </c>
      <c r="C8" s="10" t="inlineStr">
        <is>
          <t>b616f12</t>
        </is>
      </c>
      <c r="D8" s="10" t="inlineStr">
        <is>
          <t>about, master-plan</t>
        </is>
      </c>
      <c r="E8" s="10" t="inlineStr">
        <is>
          <t>Absolutes softened</t>
        </is>
      </c>
      <c r="F8" s="10" t="inlineStr">
        <is>
          <t>The only way to get the data...</t>
        </is>
      </c>
      <c r="G8" s="10" t="inlineStr">
        <is>
          <t>We believe the most reliable way to get the data...</t>
        </is>
      </c>
      <c r="H8" s="10" t="inlineStr">
        <is>
          <t>Absolute with no basis disclosure</t>
        </is>
      </c>
      <c r="I8" s="10" t="inlineStr">
        <is>
          <t>Plan: fix table</t>
        </is>
      </c>
      <c r="J8" s="10" t="inlineStr">
        <is>
          <t>Counsel</t>
        </is>
      </c>
      <c r="K8" s="11" t="inlineStr">
        <is>
          <t>Pending</t>
        </is>
      </c>
      <c r="L8" s="11" t="inlineStr">
        <is>
          <t>No</t>
        </is>
      </c>
    </row>
    <row r="9">
      <c r="A9" s="10" t="n">
        <v>5</v>
      </c>
      <c r="B9" s="10" t="inlineStr">
        <is>
          <t>2026-09-22</t>
        </is>
      </c>
      <c r="C9" s="10" t="inlineStr">
        <is>
          <t>b616f12</t>
        </is>
      </c>
      <c r="D9" s="10" t="inlineStr">
        <is>
          <t>about, master-plan</t>
        </is>
      </c>
      <c r="E9" s="10" t="inlineStr">
        <is>
          <t>Prediction reframed</t>
        </is>
      </c>
      <c r="F9" s="10" t="inlineStr">
        <is>
          <t>At the end of Phase 2, I believe even cellphone manufacturing can be moved back to the US</t>
        </is>
      </c>
      <c r="G9" s="10" t="inlineStr">
        <is>
          <t>It is our ambition that, by the end of Phase 2, even cellphone manufacturing could be moved back to the US</t>
        </is>
      </c>
      <c r="H9" s="10" t="inlineStr">
        <is>
          <t>Prediction with no safe harbour for de-SPACs</t>
        </is>
      </c>
      <c r="I9" s="10" t="inlineStr">
        <is>
          <t>Plan: fix table</t>
        </is>
      </c>
      <c r="J9" s="10" t="inlineStr">
        <is>
          <t>Counsel</t>
        </is>
      </c>
      <c r="K9" s="11" t="inlineStr">
        <is>
          <t>Pending</t>
        </is>
      </c>
      <c r="L9" s="11" t="inlineStr">
        <is>
          <t>No</t>
        </is>
      </c>
    </row>
    <row r="10">
      <c r="A10" s="10" t="n">
        <v>6</v>
      </c>
      <c r="B10" s="10" t="inlineStr">
        <is>
          <t>2026-09-22</t>
        </is>
      </c>
      <c r="C10" s="10" t="inlineStr">
        <is>
          <t>b616f12</t>
        </is>
      </c>
      <c r="D10" s="10" t="inlineStr">
        <is>
          <t>about, master-plan</t>
        </is>
      </c>
      <c r="E10" s="10" t="inlineStr">
        <is>
          <t>Forward-looking statements note added</t>
        </is>
      </c>
      <c r="F10" s="10" t="inlineStr">
        <is>
          <t>(none)</t>
        </is>
      </c>
      <c r="G10" s="10" t="inlineStr">
        <is>
          <t>FLS note under the letter, placeholder wording</t>
        </is>
      </c>
      <c r="H10" s="10" t="inlineStr">
        <is>
          <t>Plan requires a short FLS note under the letter</t>
        </is>
      </c>
      <c r="I10" s="10" t="inlineStr">
        <is>
          <t>Plan: fix table</t>
        </is>
      </c>
      <c r="J10" s="10" t="inlineStr">
        <is>
          <t>Counsel</t>
        </is>
      </c>
      <c r="K10" s="11" t="inlineStr">
        <is>
          <t>Pending</t>
        </is>
      </c>
      <c r="L10" s="11" t="inlineStr">
        <is>
          <t>No</t>
        </is>
      </c>
    </row>
    <row r="11">
      <c r="A11" s="10" t="n">
        <v>7</v>
      </c>
      <c r="B11" s="10" t="inlineStr">
        <is>
          <t>2026-09-22</t>
        </is>
      </c>
      <c r="C11" s="10" t="inlineStr">
        <is>
          <t>b616f12</t>
        </is>
      </c>
      <c r="D11" s="10" t="inlineStr">
        <is>
          <t>home.html</t>
        </is>
      </c>
      <c r="E11" s="10" t="inlineStr">
        <is>
          <t>LMM capability claim softened</t>
        </is>
      </c>
      <c r="F11" s="10" t="inlineStr">
        <is>
          <t>Our LMM runs all of them, and every deployment compounds system intelligence</t>
        </is>
      </c>
      <c r="G11" s="10" t="inlineStr">
        <is>
          <t>Our LMM is built to run all of them, and each deployment is designed to feed back into the system</t>
        </is>
      </c>
      <c r="H11" s="10" t="inlineStr">
        <is>
          <t>Absolute technical claim, not yet evidenced</t>
        </is>
      </c>
      <c r="I11" s="10" t="inlineStr">
        <is>
          <t>Plan: ground rules</t>
        </is>
      </c>
      <c r="J11" s="10" t="inlineStr">
        <is>
          <t>CTO</t>
        </is>
      </c>
      <c r="K11" s="11" t="inlineStr">
        <is>
          <t>Pending</t>
        </is>
      </c>
      <c r="L11" s="11" t="inlineStr">
        <is>
          <t>No</t>
        </is>
      </c>
    </row>
    <row r="12">
      <c r="A12" s="10" t="n">
        <v>8</v>
      </c>
      <c r="B12" s="10" t="inlineStr">
        <is>
          <t>2026-09-22</t>
        </is>
      </c>
      <c r="C12" s="10" t="inlineStr">
        <is>
          <t>b616f12</t>
        </is>
      </c>
      <c r="D12" s="10" t="inlineStr">
        <is>
          <t>home.html</t>
        </is>
      </c>
      <c r="E12" s="10" t="inlineStr">
        <is>
          <t>Live badges removed</t>
        </is>
      </c>
      <c r="F12" s="10" t="inlineStr">
        <is>
          <t>Anvil LIVE / Orion LIVE / Atlas LIVE</t>
        </is>
      </c>
      <c r="G12" s="10" t="inlineStr">
        <is>
          <t>(badges removed)</t>
        </is>
      </c>
      <c r="H12" s="10" t="inlineStr">
        <is>
          <t>Status not evidenced; deck shows Phase 2 still in validation. Momentus pattern</t>
        </is>
      </c>
      <c r="I12" s="10" t="inlineStr">
        <is>
          <t>Plan: fix table</t>
        </is>
      </c>
      <c r="J12" s="10" t="inlineStr">
        <is>
          <t>CTO</t>
        </is>
      </c>
      <c r="K12" s="11" t="inlineStr">
        <is>
          <t>Pending</t>
        </is>
      </c>
      <c r="L12" s="11" t="inlineStr">
        <is>
          <t>No</t>
        </is>
      </c>
    </row>
    <row r="13">
      <c r="A13" s="10" t="n">
        <v>9</v>
      </c>
      <c r="B13" s="10" t="inlineStr">
        <is>
          <t>2026-09-22</t>
        </is>
      </c>
      <c r="C13" s="10" t="inlineStr">
        <is>
          <t>b616f12</t>
        </is>
      </c>
      <c r="D13" s="10" t="inlineStr">
        <is>
          <t>offerings.html</t>
        </is>
      </c>
      <c r="E13" s="10" t="inlineStr">
        <is>
          <t>Factory count reworded</t>
        </is>
      </c>
      <c r="F13" s="10" t="inlineStr">
        <is>
          <t>9 category factories, one stack (stat + meta)</t>
        </is>
      </c>
      <c r="G13" s="10" t="inlineStr">
        <is>
          <t>9 manufacturing categories, one stack</t>
        </is>
      </c>
      <c r="H13" s="10" t="inlineStr">
        <is>
          <t>Implied nine operating factories</t>
        </is>
      </c>
      <c r="I13" s="10" t="inlineStr">
        <is>
          <t>Plan: fix table</t>
        </is>
      </c>
      <c r="J13" s="10" t="inlineStr">
        <is>
          <t>COO</t>
        </is>
      </c>
      <c r="K13" s="11" t="inlineStr">
        <is>
          <t>Pending</t>
        </is>
      </c>
      <c r="L13" s="11" t="inlineStr">
        <is>
          <t>No</t>
        </is>
      </c>
    </row>
    <row r="14">
      <c r="A14" s="10" t="n">
        <v>10</v>
      </c>
      <c r="B14" s="10" t="inlineStr">
        <is>
          <t>2026-09-22</t>
        </is>
      </c>
      <c r="C14" s="10" t="inlineStr">
        <is>
          <t>b616f12</t>
        </is>
      </c>
      <c r="D14" s="10" t="inlineStr">
        <is>
          <t>case-studies, case-messenger</t>
        </is>
      </c>
      <c r="E14" s="10" t="inlineStr">
        <is>
          <t>BNC labelled as related party</t>
        </is>
      </c>
      <c r="F14" s="10" t="inlineStr">
        <is>
          <t>Client: BNC Motors · India</t>
        </is>
      </c>
      <c r="G14" s="10" t="inlineStr">
        <is>
          <t>Client: BNC Motors · India (NEMI subsidiary, internal program)</t>
        </is>
      </c>
      <c r="H14" s="10" t="inlineStr">
        <is>
          <t>Related-party result sat beside third-party cases</t>
        </is>
      </c>
      <c r="I14" s="10" t="inlineStr">
        <is>
          <t>Plan: fix table</t>
        </is>
      </c>
      <c r="J14" s="10" t="inlineStr">
        <is>
          <t>CFO</t>
        </is>
      </c>
      <c r="K14" s="11" t="inlineStr">
        <is>
          <t>Pending</t>
        </is>
      </c>
      <c r="L14" s="11" t="inlineStr">
        <is>
          <t>No</t>
        </is>
      </c>
    </row>
    <row r="15">
      <c r="A15" s="10" t="n">
        <v>11</v>
      </c>
      <c r="B15" s="10" t="inlineStr">
        <is>
          <t>2026-09-22</t>
        </is>
      </c>
      <c r="C15" s="10" t="inlineStr">
        <is>
          <t>b616f12</t>
        </is>
      </c>
      <c r="D15" s="10" t="inlineStr">
        <is>
          <t>case-drone.html</t>
        </is>
      </c>
      <c r="E15" s="10" t="inlineStr">
        <is>
          <t>Customer genuinely anonymised</t>
        </is>
      </c>
      <c r="F15" s="10" t="inlineStr">
        <is>
          <t>Bengaluru-based, founded 1997, AS9100D + CEMILAC, partner to India's leading defense and space agencies</t>
        </is>
      </c>
      <c r="G15" s="10" t="inlineStr">
        <is>
          <t>An established Indian aerospace &amp; defense systems-engineering company</t>
        </is>
      </c>
      <c r="H15" s="10" t="inlineStr">
        <is>
          <t>Identifying in practice: all the exposure of naming, none of the credibility</t>
        </is>
      </c>
      <c r="I15" s="10" t="inlineStr">
        <is>
          <t>Plan: fix table</t>
        </is>
      </c>
      <c r="J15" s="10" t="inlineStr">
        <is>
          <t>CEO</t>
        </is>
      </c>
      <c r="K15" s="11" t="inlineStr">
        <is>
          <t>Pending</t>
        </is>
      </c>
      <c r="L15" s="11" t="inlineStr">
        <is>
          <t>No</t>
        </is>
      </c>
    </row>
    <row r="16">
      <c r="A16" s="10" t="n">
        <v>12</v>
      </c>
      <c r="B16" s="10" t="inlineStr">
        <is>
          <t>2026-09-22</t>
        </is>
      </c>
      <c r="C16" s="10" t="inlineStr">
        <is>
          <t>b616f12</t>
        </is>
      </c>
      <c r="D16" s="10" t="inlineStr">
        <is>
          <t>netlify.toml</t>
        </is>
      </c>
      <c r="E16" s="10" t="inlineStr">
        <is>
          <t>/_s4/* blocked from the public site</t>
        </is>
      </c>
      <c r="F16" s="10" t="inlineStr">
        <is>
          <t>(n/a)</t>
        </is>
      </c>
      <c r="G16" s="10" t="inlineStr">
        <is>
          <t>404 redirect</t>
        </is>
      </c>
      <c r="H16" s="10" t="inlineStr">
        <is>
          <t>Keep drafts and the audit off the public site</t>
        </is>
      </c>
      <c r="I16" s="10" t="inlineStr">
        <is>
          <t>Housekeeping</t>
        </is>
      </c>
      <c r="J16" s="10" t="inlineStr">
        <is>
          <t>Marketing</t>
        </is>
      </c>
      <c r="K16" s="11" t="inlineStr">
        <is>
          <t>Pending</t>
        </is>
      </c>
      <c r="L16" s="11" t="inlineStr">
        <is>
          <t>No</t>
        </is>
      </c>
    </row>
    <row r="17">
      <c r="A17" s="10" t="n">
        <v>13</v>
      </c>
      <c r="B17" s="10" t="inlineStr">
        <is>
          <t>2026-09-22</t>
        </is>
      </c>
      <c r="C17" s="10" t="inlineStr">
        <is>
          <t>b7c8989</t>
        </is>
      </c>
      <c r="D17" s="10" t="inlineStr">
        <is>
          <t>_s4/</t>
        </is>
      </c>
      <c r="E17" s="10" t="inlineStr">
        <is>
          <t>Evidence audit built as a workbook</t>
        </is>
      </c>
      <c r="F17" s="10" t="inlineStr">
        <is>
          <t>(none)</t>
        </is>
      </c>
      <c r="G17" s="10" t="inlineStr">
        <is>
          <t>39 claims, risk-rated, with owner and sign-off columns</t>
        </is>
      </c>
      <c r="H17" s="10" t="inlineStr">
        <is>
          <t>Plan: every claim must trace to a document</t>
        </is>
      </c>
      <c r="I17" s="10" t="inlineStr">
        <is>
          <t>Plan: ground rules</t>
        </is>
      </c>
      <c r="J17" s="10" t="inlineStr">
        <is>
          <t>Marketing + CFO</t>
        </is>
      </c>
      <c r="K17" s="11" t="inlineStr">
        <is>
          <t>Pending</t>
        </is>
      </c>
      <c r="L17" s="11" t="inlineStr">
        <is>
          <t>No</t>
        </is>
      </c>
    </row>
    <row r="18">
      <c r="A18" s="10" t="n">
        <v>14</v>
      </c>
      <c r="B18" s="10" t="inlineStr">
        <is>
          <t>2026-09-22</t>
        </is>
      </c>
      <c r="C18" s="10" t="inlineStr">
        <is>
          <t>8d62b9a</t>
        </is>
      </c>
      <c r="D18" s="10" t="inlineStr">
        <is>
          <t>blog.html + new files</t>
        </is>
      </c>
      <c r="E18" s="10" t="inlineStr">
        <is>
          <t>Blog structure rebuilt</t>
        </is>
      </c>
      <c r="F18" s="10" t="inlineStr">
        <is>
          <t>Single post list, no categories or dates in markup</t>
        </is>
      </c>
      <c r="G18" s="10" t="inlineStr">
        <is>
          <t>Categories, dated posts, archive, post template with sources and update history</t>
        </is>
      </c>
      <c r="H18" s="10" t="inlineStr">
        <is>
          <t>Blog must hold posts that are traceable and dated; no silent edits</t>
        </is>
      </c>
      <c r="I18" s="10" t="inlineStr">
        <is>
          <t>Plan: ground rules</t>
        </is>
      </c>
      <c r="J18" s="10" t="inlineStr">
        <is>
          <t>Marketing</t>
        </is>
      </c>
      <c r="K18" s="11" t="inlineStr">
        <is>
          <t>Pending</t>
        </is>
      </c>
      <c r="L18" s="11" t="inlineStr">
        <is>
          <t>No</t>
        </is>
      </c>
    </row>
    <row r="19">
      <c r="A19" s="10" t="n">
        <v>15</v>
      </c>
      <c r="B19" s="10" t="inlineStr">
        <is>
          <t>2026-09-23</t>
        </is>
      </c>
      <c r="C19" s="10" t="inlineStr">
        <is>
          <t>06f91d6</t>
        </is>
      </c>
      <c r="D19" s="10" t="inlineStr">
        <is>
          <t>_investors-draft.html</t>
        </is>
      </c>
      <c r="E19" s="10" t="inlineStr">
        <is>
          <t>Investors page built unpublished</t>
        </is>
      </c>
      <c r="F19" s="10" t="inlineStr">
        <is>
          <t>(none)</t>
        </is>
      </c>
      <c r="G19" s="10" t="inlineStr">
        <is>
          <t>Announcement block, filings index, webcast, FAQ, IR contact, legends</t>
        </is>
      </c>
      <c r="H19" s="10" t="inlineStr">
        <is>
          <t>Plan Stage 2: announcement day is a switch-on, not a build</t>
        </is>
      </c>
      <c r="I19" s="10" t="inlineStr">
        <is>
          <t>Plan: Stage 2</t>
        </is>
      </c>
      <c r="J19" s="10" t="inlineStr">
        <is>
          <t>Marketing + counsel</t>
        </is>
      </c>
      <c r="K19" s="11" t="inlineStr">
        <is>
          <t>Pending</t>
        </is>
      </c>
      <c r="L19" s="11" t="inlineStr">
        <is>
          <t>No</t>
        </is>
      </c>
    </row>
    <row r="20">
      <c r="A20" s="10" t="n">
        <v>16</v>
      </c>
      <c r="B20" s="10" t="inlineStr">
        <is>
          <t>2026-09-23</t>
        </is>
      </c>
      <c r="C20" s="10" t="inlineStr">
        <is>
          <t>06f91d6</t>
        </is>
      </c>
      <c r="D20" s="10" t="inlineStr">
        <is>
          <t>_s4/ANNOUNCEMENT_DAY.md</t>
        </is>
      </c>
      <c r="E20" s="10" t="inlineStr">
        <is>
          <t>Switch-on runbook written</t>
        </is>
      </c>
      <c r="F20" s="10" t="inlineStr">
        <is>
          <t>(none)</t>
        </is>
      </c>
      <c r="G20" s="10" t="inlineStr">
        <is>
          <t>Pre-day checklist, order of operations, what stays off, week after</t>
        </is>
      </c>
      <c r="H20" s="10" t="inlineStr">
        <is>
          <t>Plan: Stage 2</t>
        </is>
      </c>
      <c r="I20" s="10" t="inlineStr">
        <is>
          <t>Plan: Stage 2</t>
        </is>
      </c>
      <c r="J20" s="10" t="inlineStr">
        <is>
          <t>Marketing</t>
        </is>
      </c>
      <c r="K20" s="11" t="inlineStr">
        <is>
          <t>Pending</t>
        </is>
      </c>
      <c r="L20" s="11" t="inlineStr">
        <is>
          <t>No</t>
        </is>
      </c>
    </row>
    <row r="21">
      <c r="A21" s="10" t="n">
        <v>17</v>
      </c>
      <c r="B21" s="10" t="inlineStr">
        <is>
          <t>2026-09-23</t>
        </is>
      </c>
      <c r="C21" s="10" t="inlineStr">
        <is>
          <t>15a001a</t>
        </is>
      </c>
      <c r="D21" s="10" t="inlineStr">
        <is>
          <t>offerings.html</t>
        </is>
      </c>
      <c r="E21" s="10" t="inlineStr">
        <is>
          <t>Nine categories labelled by phase</t>
        </is>
      </c>
      <c r="F21" s="10" t="inlineStr">
        <is>
          <t>All nine shown as equal</t>
        </is>
      </c>
      <c r="G21" s="10" t="inlineStr">
        <is>
          <t>3 Near-term focus, 6 Available, with a key</t>
        </is>
      </c>
      <c r="H21" s="10" t="inlineStr">
        <is>
          <t>Deck splits Phase 1 / Phase 2 services</t>
        </is>
      </c>
      <c r="I21" s="10" t="inlineStr">
        <is>
          <t>Deck slide 4</t>
        </is>
      </c>
      <c r="J21" s="10" t="inlineStr">
        <is>
          <t>COO</t>
        </is>
      </c>
      <c r="K21" s="11" t="inlineStr">
        <is>
          <t>Pending</t>
        </is>
      </c>
      <c r="L21" s="11" t="inlineStr">
        <is>
          <t>No</t>
        </is>
      </c>
    </row>
    <row r="22">
      <c r="A22" s="10" t="n">
        <v>18</v>
      </c>
      <c r="B22" s="10" t="inlineStr">
        <is>
          <t>2026-09-23</t>
        </is>
      </c>
      <c r="C22" s="10" t="inlineStr">
        <is>
          <t>15a001a</t>
        </is>
      </c>
      <c r="D22" s="10" t="inlineStr">
        <is>
          <t>case-drone, case-studies</t>
        </is>
      </c>
      <c r="E22" s="10" t="inlineStr">
        <is>
          <t>Unsourced benchmark removed</t>
        </is>
      </c>
      <c r="F22" s="10" t="inlineStr">
        <is>
          <t>$500k benchmark, $100k 5x lower cost</t>
        </is>
      </c>
      <c r="G22" s="10" t="inlineStr">
        <is>
          <t>$100k development cost; 16-month benchmark kept</t>
        </is>
      </c>
      <c r="H22" s="10" t="inlineStr">
        <is>
          <t>$500k and 5x are not in the deck and have no source yet</t>
        </is>
      </c>
      <c r="I22" s="10" t="inlineStr">
        <is>
          <t>Deck slide 7</t>
        </is>
      </c>
      <c r="J22" s="10" t="inlineStr">
        <is>
          <t>CFO</t>
        </is>
      </c>
      <c r="K22" s="11" t="inlineStr">
        <is>
          <t>Pending</t>
        </is>
      </c>
      <c r="L22" s="11" t="inlineStr">
        <is>
          <t>No</t>
        </is>
      </c>
    </row>
    <row r="23">
      <c r="A23" s="10" t="n">
        <v>19</v>
      </c>
      <c r="B23" s="10" t="inlineStr">
        <is>
          <t>2026-09-23</t>
        </is>
      </c>
      <c r="C23" s="10" t="inlineStr">
        <is>
          <t>15a001a</t>
        </is>
      </c>
      <c r="D23" s="10" t="inlineStr">
        <is>
          <t>home.html</t>
        </is>
      </c>
      <c r="E23" s="10" t="inlineStr">
        <is>
          <t>Data claim matched to the deck</t>
        </is>
      </c>
      <c r="F23" s="10" t="inlineStr">
        <is>
          <t>Hardware has no internet to scrape</t>
        </is>
      </c>
      <c r="G23" s="10" t="inlineStr">
        <is>
          <t>Hardware has no large public datasets to scrape</t>
        </is>
      </c>
      <c r="H23" s="10" t="inlineStr">
        <is>
          <t>Deck wording, and literally true</t>
        </is>
      </c>
      <c r="I23" s="10" t="inlineStr">
        <is>
          <t>Deck slide 2</t>
        </is>
      </c>
      <c r="J23" s="10" t="inlineStr">
        <is>
          <t>CTO</t>
        </is>
      </c>
      <c r="K23" s="11" t="inlineStr">
        <is>
          <t>Pending</t>
        </is>
      </c>
      <c r="L23" s="11" t="inlineStr">
        <is>
          <t>No</t>
        </is>
      </c>
    </row>
    <row r="24">
      <c r="A24" s="10" t="n">
        <v>20</v>
      </c>
      <c r="B24" s="10" t="inlineStr">
        <is>
          <t>2026-09-23</t>
        </is>
      </c>
      <c r="C24" s="10" t="inlineStr">
        <is>
          <t>15a001a</t>
        </is>
      </c>
      <c r="D24" s="10" t="inlineStr">
        <is>
          <t>about, master-plan, lmm-stack</t>
        </is>
      </c>
      <c r="E24" s="10" t="inlineStr">
        <is>
          <t>Footprint qualified</t>
        </is>
      </c>
      <c r="F24" s="10" t="inlineStr">
        <is>
          <t>over 300,000 sq ft</t>
        </is>
      </c>
      <c r="G24" s="10" t="inlineStr">
        <is>
          <t>over 300,000 sq ft in India</t>
        </is>
      </c>
      <c r="H24" s="10" t="inlineStr">
        <is>
          <t>Deck footnote: present footprint of factories in India</t>
        </is>
      </c>
      <c r="I24" s="10" t="inlineStr">
        <is>
          <t>Deck slide 5</t>
        </is>
      </c>
      <c r="J24" s="10" t="inlineStr">
        <is>
          <t>CFO</t>
        </is>
      </c>
      <c r="K24" s="11" t="inlineStr">
        <is>
          <t>Pending</t>
        </is>
      </c>
      <c r="L24" s="11" t="inlineStr">
        <is>
          <t>No</t>
        </is>
      </c>
    </row>
    <row r="25">
      <c r="A25" s="10" t="n">
        <v>21</v>
      </c>
      <c r="B25" s="10" t="inlineStr">
        <is>
          <t>2026-09-23</t>
        </is>
      </c>
      <c r="C25" s="10" t="inlineStr">
        <is>
          <t>15a001a</t>
        </is>
      </c>
      <c r="D25" s="10" t="inlineStr">
        <is>
          <t>about.html</t>
        </is>
      </c>
      <c r="E25" s="10" t="inlineStr">
        <is>
          <t>India finance role retitled</t>
        </is>
      </c>
      <c r="F25" s="10" t="inlineStr">
        <is>
          <t>Chief Financial Officer · India</t>
        </is>
      </c>
      <c r="G25" s="10" t="inlineStr">
        <is>
          <t>Finance Head · India</t>
        </is>
      </c>
      <c r="H25" s="10" t="inlineStr">
        <is>
          <t>Only one CFO can appear in the S-4 officer list</t>
        </is>
      </c>
      <c r="I25" s="10" t="inlineStr">
        <is>
          <t>Deck slide 11</t>
        </is>
      </c>
      <c r="J25" s="10" t="inlineStr">
        <is>
          <t>Counsel</t>
        </is>
      </c>
      <c r="K25" s="11" t="inlineStr">
        <is>
          <t>Pending</t>
        </is>
      </c>
      <c r="L25" s="11" t="inlineStr">
        <is>
          <t>No</t>
        </is>
      </c>
    </row>
    <row r="26">
      <c r="A26" s="10" t="n">
        <v>22</v>
      </c>
      <c r="B26" s="10" t="inlineStr">
        <is>
          <t>2026-09-23</t>
        </is>
      </c>
      <c r="C26" s="10" t="inlineStr">
        <is>
          <t>(uncommitted)</t>
        </is>
      </c>
      <c r="D26" s="10" t="inlineStr">
        <is>
          <t>about.html</t>
        </is>
      </c>
      <c r="E26" s="10" t="inlineStr">
        <is>
          <t>Kevin Flick added as Chief Financial Officer</t>
        </is>
      </c>
      <c r="F26" s="10" t="inlineStr">
        <is>
          <t>(no CFO card for him; Gokul Madhavan listed as CFO)</t>
        </is>
      </c>
      <c r="G26" s="10" t="inlineStr">
        <is>
          <t>Kevin Flick, Chief Financial Officer. Bio: finance operator across energy and industrials, 20+ years. CFO and operating partner at Infinity Financial Group. A decade as EVP Finance at Canacol Energy, and transaction advisory at EY.</t>
        </is>
      </c>
      <c r="H26" s="10" t="inlineStr">
        <is>
          <t>New CFO appointed Sep 2026. Bio drafted from his own LinkedIn profile, read 23 Sep 2026, and must be confirmed against his CV or appointment letter and matched to the S-4 word for word</t>
        </is>
      </c>
      <c r="I26" s="10" t="inlineStr">
        <is>
          <t>User instruction</t>
        </is>
      </c>
      <c r="J26" s="10" t="inlineStr">
        <is>
          <t>CEO + counsel</t>
        </is>
      </c>
      <c r="K26" s="11" t="inlineStr">
        <is>
          <t>Pending</t>
        </is>
      </c>
      <c r="L26" s="11" t="inlineStr">
        <is>
          <t>No</t>
        </is>
      </c>
    </row>
    <row r="27">
      <c r="A27" s="10" t="n">
        <v>23</v>
      </c>
      <c r="B27" s="10" t="inlineStr">
        <is>
          <t>2026-09-23</t>
        </is>
      </c>
      <c r="C27" s="10" t="inlineStr">
        <is>
          <t>(uncommitted)</t>
        </is>
      </c>
      <c r="D27" s="10" t="inlineStr">
        <is>
          <t>about.html</t>
        </is>
      </c>
      <c r="E27" s="10" t="inlineStr">
        <is>
          <t>Gokul Madhavan retitled</t>
        </is>
      </c>
      <c r="F27" s="10" t="inlineStr">
        <is>
          <t>Chief Financial Officer</t>
        </is>
      </c>
      <c r="G27" s="10" t="inlineStr">
        <is>
          <t>Chief Strategy Officer</t>
        </is>
      </c>
      <c r="H27" s="10" t="inlineStr">
        <is>
          <t>Role change following the CFO appointment. The Aug 2026 deck still shows him as CFO and needs the same fix</t>
        </is>
      </c>
      <c r="I27" s="10" t="inlineStr">
        <is>
          <t>User instruction</t>
        </is>
      </c>
      <c r="J27" s="10" t="inlineStr">
        <is>
          <t>CEO</t>
        </is>
      </c>
      <c r="K27" s="11" t="inlineStr">
        <is>
          <t>Pending</t>
        </is>
      </c>
      <c r="L27" s="11" t="inlineStr">
        <is>
          <t>No</t>
        </is>
      </c>
    </row>
    <row r="28">
      <c r="A28" s="10" t="n">
        <v>24</v>
      </c>
      <c r="B28" s="10" t="inlineStr">
        <is>
          <t>2026-09-23</t>
        </is>
      </c>
      <c r="C28" s="10" t="inlineStr">
        <is>
          <t>(uncommitted)</t>
        </is>
      </c>
      <c r="D28" s="10" t="inlineStr">
        <is>
          <t>about.html, style.css</t>
        </is>
      </c>
      <c r="E28" s="10" t="inlineStr">
        <is>
          <t>Leadership row widened to five</t>
        </is>
      </c>
      <c r="F28" s="10" t="inlineStr">
        <is>
          <t>4-column grid, 5th card orphaned on its own row</t>
        </is>
      </c>
      <c r="G28" s="10" t="inlineStr">
        <is>
          <t>5-column row on desktop, 3-up mid, 1-up on mobile</t>
        </is>
      </c>
      <c r="H28" s="10" t="inlineStr">
        <is>
          <t>Layout consequence of the new CFO card</t>
        </is>
      </c>
      <c r="I28" s="10" t="inlineStr">
        <is>
          <t>Housekeeping</t>
        </is>
      </c>
      <c r="J28" s="10" t="inlineStr">
        <is>
          <t>Marketing</t>
        </is>
      </c>
      <c r="K28" s="11" t="inlineStr">
        <is>
          <t>Pending</t>
        </is>
      </c>
      <c r="L28" s="11" t="inlineStr">
        <is>
          <t>No</t>
        </is>
      </c>
    </row>
  </sheetData>
  <autoFilter ref="A4:L28"/>
  <conditionalFormatting sqref="K5:K25">
    <cfRule type="expression" priority="1" dxfId="0">
      <formula>LEFT($K5,7)="Cleared"</formula>
    </cfRule>
    <cfRule type="expression" priority="2" dxfId="1">
      <formula>$K5="Pending"</formula>
    </cfRule>
  </conditionalFormatting>
  <dataValidations count="3">
    <dataValidation sqref="K5:K25" showDropDown="0" showInputMessage="0" showErrorMessage="0" allowBlank="1" type="list">
      <formula1>"Pending,Cleared,Cleared with edits,Reverted"</formula1>
    </dataValidation>
    <dataValidation sqref="L5:L25" showDropDown="0" showInputMessage="0" showErrorMessage="0" allowBlank="1" type="list">
      <formula1>"No,Yes"</formula1>
    </dataValidation>
    <dataValidation sqref="K26:K28" showDropDown="0" showInputMessage="0" showErrorMessage="0" allowBlank="1" type="list">
      <formula1>"Pending,Cleared,Cleared with edits,Reverted"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52" customWidth="1" min="3" max="3"/>
    <col width="15" customWidth="1" min="4" max="4"/>
    <col width="46" customWidth="1" min="5" max="5"/>
    <col width="18" customWidth="1" min="6" max="6"/>
    <col width="20" customWidth="1" min="7" max="7"/>
  </cols>
  <sheetData>
    <row r="1">
      <c r="A1" s="1" t="inlineStr">
        <is>
          <t>Website plan for the transaction, 18 Sep 2026: item by item</t>
        </is>
      </c>
    </row>
    <row r="2">
      <c r="A2" s="2" t="inlineStr">
        <is>
          <t>Every instruction in the plan document, and where it stands on the BCA-Ready branch.</t>
        </is>
      </c>
    </row>
    <row r="4" ht="30" customHeight="1">
      <c r="A4" s="3" t="inlineStr">
        <is>
          <t>#</t>
        </is>
      </c>
      <c r="B4" s="3" t="inlineStr">
        <is>
          <t>Stage</t>
        </is>
      </c>
      <c r="C4" s="3" t="inlineStr">
        <is>
          <t>Plan says</t>
        </is>
      </c>
      <c r="D4" s="3" t="inlineStr">
        <is>
          <t>Status</t>
        </is>
      </c>
      <c r="E4" s="3" t="inlineStr">
        <is>
          <t>Where it stands</t>
        </is>
      </c>
      <c r="F4" s="3" t="inlineStr">
        <is>
          <t>Owner</t>
        </is>
      </c>
      <c r="G4" s="3" t="inlineStr">
        <is>
          <t>Due</t>
        </is>
      </c>
    </row>
    <row r="5">
      <c r="A5" s="10" t="n">
        <v>1</v>
      </c>
      <c r="B5" s="10" t="inlineStr">
        <is>
          <t>Stage 1</t>
        </is>
      </c>
      <c r="C5" s="10" t="inlineStr">
        <is>
          <t>About: 'Built NEMI greenfield to 300k sq ft' is wrong</t>
        </is>
      </c>
      <c r="D5" s="12" t="inlineStr">
        <is>
          <t>Done on branch</t>
        </is>
      </c>
      <c r="E5" s="10" t="inlineStr">
        <is>
          <t>Rewritten as acquired and expanded</t>
        </is>
      </c>
      <c r="F5" s="10" t="inlineStr">
        <is>
          <t>Marketing + CFO</t>
        </is>
      </c>
      <c r="G5" s="10" t="inlineStr">
        <is>
          <t>Before BCA signing</t>
        </is>
      </c>
    </row>
    <row r="6">
      <c r="A6" s="10" t="n">
        <v>2</v>
      </c>
      <c r="B6" s="10" t="inlineStr">
        <is>
          <t>Stage 1</t>
        </is>
      </c>
      <c r="C6" s="10" t="inlineStr">
        <is>
          <t>'Profitably, today' must state the exact measure or go</t>
        </is>
      </c>
      <c r="D6" s="12" t="inlineStr">
        <is>
          <t>Done on branch</t>
        </is>
      </c>
      <c r="E6" s="10" t="inlineStr">
        <is>
          <t>Removed everywhere; reinstate only with a segment measure</t>
        </is>
      </c>
      <c r="F6" s="10" t="inlineStr">
        <is>
          <t>CFO</t>
        </is>
      </c>
      <c r="G6" s="10" t="inlineStr">
        <is>
          <t>Before BCA signing</t>
        </is>
      </c>
    </row>
    <row r="7">
      <c r="A7" s="10" t="n">
        <v>3</v>
      </c>
      <c r="B7" s="10" t="inlineStr">
        <is>
          <t>Stage 1</t>
        </is>
      </c>
      <c r="C7" s="10" t="inlineStr">
        <is>
          <t>Master Plan absolutes and predictions to be softened, FLS note added</t>
        </is>
      </c>
      <c r="D7" s="12" t="inlineStr">
        <is>
          <t>Done on branch</t>
        </is>
      </c>
      <c r="E7" s="10" t="inlineStr">
        <is>
          <t>Softened; FLS note added with placeholder wording</t>
        </is>
      </c>
      <c r="F7" s="10" t="inlineStr">
        <is>
          <t>Counsel</t>
        </is>
      </c>
      <c r="G7" s="10" t="inlineStr">
        <is>
          <t>Before BCA signing</t>
        </is>
      </c>
    </row>
    <row r="8">
      <c r="A8" s="10" t="n">
        <v>4</v>
      </c>
      <c r="B8" s="10" t="inlineStr">
        <is>
          <t>Stage 1</t>
        </is>
      </c>
      <c r="C8" s="10" t="inlineStr">
        <is>
          <t>Offerings: label each category live / pilot / roadmap</t>
        </is>
      </c>
      <c r="D8" s="12" t="inlineStr">
        <is>
          <t>Done on branch</t>
        </is>
      </c>
      <c r="E8" s="10" t="inlineStr">
        <is>
          <t>Labelled per the deck: 3 Near-term focus, 6 Available</t>
        </is>
      </c>
      <c r="F8" s="10" t="inlineStr">
        <is>
          <t>COO</t>
        </is>
      </c>
      <c r="G8" s="10" t="inlineStr">
        <is>
          <t>Before BCA signing</t>
        </is>
      </c>
    </row>
    <row r="9">
      <c r="A9" s="10" t="n">
        <v>5</v>
      </c>
      <c r="B9" s="10" t="inlineStr">
        <is>
          <t>Stage 1</t>
        </is>
      </c>
      <c r="C9" s="10" t="inlineStr">
        <is>
          <t>Defense UAS case: name them with permission, or genuinely anonymise</t>
        </is>
      </c>
      <c r="D9" s="13" t="inlineStr">
        <is>
          <t>Partly done</t>
        </is>
      </c>
      <c r="E9" s="10" t="inlineStr">
        <is>
          <t>Site anonymised. The deck still identifies them via a DRDO quote</t>
        </is>
      </c>
      <c r="F9" s="10" t="inlineStr">
        <is>
          <t>CEO</t>
        </is>
      </c>
      <c r="G9" s="10" t="inlineStr">
        <is>
          <t>Before BCA signing</t>
        </is>
      </c>
    </row>
    <row r="10">
      <c r="A10" s="10" t="n">
        <v>6</v>
      </c>
      <c r="B10" s="10" t="inlineStr">
        <is>
          <t>Stage 1</t>
        </is>
      </c>
      <c r="C10" s="10" t="inlineStr">
        <is>
          <t>BNC Messenger: label clearly as an internal program</t>
        </is>
      </c>
      <c r="D10" s="12" t="inlineStr">
        <is>
          <t>Done on branch</t>
        </is>
      </c>
      <c r="E10" s="10" t="inlineStr">
        <is>
          <t>Labelled on the index and the case page</t>
        </is>
      </c>
      <c r="F10" s="10" t="inlineStr">
        <is>
          <t>CFO</t>
        </is>
      </c>
      <c r="G10" s="10" t="inlineStr">
        <is>
          <t>Before BCA signing</t>
        </is>
      </c>
    </row>
    <row r="11">
      <c r="A11" s="10" t="n">
        <v>7</v>
      </c>
      <c r="B11" s="10" t="inlineStr">
        <is>
          <t>Stage 1</t>
        </is>
      </c>
      <c r="C11" s="10" t="inlineStr">
        <is>
          <t>Invest page vs blank invest.nemilmm.com: gated portal or remove the link</t>
        </is>
      </c>
      <c r="D11" s="14" t="inlineStr">
        <is>
          <t>Decision due</t>
        </is>
      </c>
      <c r="E11" s="10" t="inlineStr">
        <is>
          <t>No decision yet. The deck's SAFE deadline is 30 Sep 2026</t>
        </is>
      </c>
      <c r="F11" s="10" t="inlineStr">
        <is>
          <t>CEO + counsel</t>
        </is>
      </c>
      <c r="G11" s="10" t="inlineStr">
        <is>
          <t>This week</t>
        </is>
      </c>
    </row>
    <row r="12">
      <c r="A12" s="10" t="n">
        <v>8</v>
      </c>
      <c r="B12" s="10" t="inlineStr">
        <is>
          <t>Stage 1</t>
        </is>
      </c>
      <c r="C12" s="10" t="inlineStr">
        <is>
          <t>Footer entity name must match the S-4</t>
        </is>
      </c>
      <c r="D12" s="14" t="inlineStr">
        <is>
          <t>Blocked</t>
        </is>
      </c>
      <c r="E12" s="10" t="inlineStr">
        <is>
          <t>Still '2026 NEMI LMM'. Needs the US HoldCo legal name</t>
        </is>
      </c>
      <c r="F12" s="10" t="inlineStr">
        <is>
          <t>Counsel</t>
        </is>
      </c>
      <c r="G12" s="10" t="inlineStr">
        <is>
          <t>At S-4 draft</t>
        </is>
      </c>
    </row>
    <row r="13">
      <c r="A13" s="10" t="n">
        <v>9</v>
      </c>
      <c r="B13" s="10" t="inlineStr">
        <is>
          <t>Stage 1</t>
        </is>
      </c>
      <c r="C13" s="10" t="inlineStr">
        <is>
          <t>Prepare an Investors page, unpublished</t>
        </is>
      </c>
      <c r="D13" s="12" t="inlineStr">
        <is>
          <t>Done on branch</t>
        </is>
      </c>
      <c r="E13" s="10" t="inlineStr">
        <is>
          <t>_investors-draft.html, blocked from the public site</t>
        </is>
      </c>
      <c r="F13" s="10" t="inlineStr">
        <is>
          <t>Marketing</t>
        </is>
      </c>
      <c r="G13" s="10" t="inlineStr">
        <is>
          <t>Before BCA signing</t>
        </is>
      </c>
    </row>
    <row r="14">
      <c r="A14" s="10" t="n">
        <v>10</v>
      </c>
      <c r="B14" s="10" t="inlineStr">
        <is>
          <t>Stage 1</t>
        </is>
      </c>
      <c r="C14" s="10" t="inlineStr">
        <is>
          <t>Prepare a single Legends page, unpublished</t>
        </is>
      </c>
      <c r="D14" s="12" t="inlineStr">
        <is>
          <t>Done on branch</t>
        </is>
      </c>
      <c r="E14" s="10" t="inlineStr">
        <is>
          <t>_s4/legends-draft.html, counsel owns the wording</t>
        </is>
      </c>
      <c r="F14" s="10" t="inlineStr">
        <is>
          <t>Counsel</t>
        </is>
      </c>
      <c r="G14" s="10" t="inlineStr">
        <is>
          <t>Before BCA signing</t>
        </is>
      </c>
    </row>
    <row r="15">
      <c r="A15" s="10" t="n">
        <v>11</v>
      </c>
      <c r="B15" s="10" t="inlineStr">
        <is>
          <t>Stage 1</t>
        </is>
      </c>
      <c r="C15" s="10" t="inlineStr">
        <is>
          <t>Bios and entity description matching the S-4 word for word</t>
        </is>
      </c>
      <c r="D15" s="14" t="inlineStr">
        <is>
          <t>Blocked</t>
        </is>
      </c>
      <c r="E15" s="10" t="inlineStr">
        <is>
          <t>Needs the S-4 draft. Four board and bio mismatches already known</t>
        </is>
      </c>
      <c r="F15" s="10" t="inlineStr">
        <is>
          <t>Counsel + CEO</t>
        </is>
      </c>
      <c r="G15" s="10" t="inlineStr">
        <is>
          <t>At S-4 draft</t>
        </is>
      </c>
    </row>
    <row r="16">
      <c r="A16" s="10" t="n">
        <v>12</v>
      </c>
      <c r="B16" s="10" t="inlineStr">
        <is>
          <t>Ground rules</t>
        </is>
      </c>
      <c r="C16" s="10" t="inlineStr">
        <is>
          <t>Every claim traces to a document</t>
        </is>
      </c>
      <c r="D16" s="13" t="inlineStr">
        <is>
          <t>Open</t>
        </is>
      </c>
      <c r="E16" s="10" t="inlineStr">
        <is>
          <t>39 claims logged; source column still empty</t>
        </is>
      </c>
      <c r="F16" s="10" t="inlineStr">
        <is>
          <t>Marketing + CFO</t>
        </is>
      </c>
      <c r="G16" s="10" t="inlineStr">
        <is>
          <t>Next 2 weeks</t>
        </is>
      </c>
    </row>
    <row r="17">
      <c r="A17" s="10" t="n">
        <v>13</v>
      </c>
      <c r="B17" s="10" t="inlineStr">
        <is>
          <t>Ground rules</t>
        </is>
      </c>
      <c r="C17" s="10" t="inlineStr">
        <is>
          <t>No numbers on the site that are not in a filed document</t>
        </is>
      </c>
      <c r="D17" s="13" t="inlineStr">
        <is>
          <t>Partly done</t>
        </is>
      </c>
      <c r="E17" s="10" t="inlineStr">
        <is>
          <t>Unsourced benchmarks removed; EV and coffee figures still up</t>
        </is>
      </c>
      <c r="F17" s="10" t="inlineStr">
        <is>
          <t>CFO</t>
        </is>
      </c>
      <c r="G17" s="10" t="inlineStr">
        <is>
          <t>Next 2 weeks</t>
        </is>
      </c>
    </row>
    <row r="18">
      <c r="A18" s="10" t="n">
        <v>14</v>
      </c>
      <c r="B18" s="10" t="inlineStr">
        <is>
          <t>Ground rules</t>
        </is>
      </c>
      <c r="C18" s="10" t="inlineStr">
        <is>
          <t>Counsel pre-clears all site changes, dated change log kept</t>
        </is>
      </c>
      <c r="D18" s="13" t="inlineStr">
        <is>
          <t>Open</t>
        </is>
      </c>
      <c r="E18" s="10" t="inlineStr">
        <is>
          <t>This workbook is the log. No change has been cleared yet</t>
        </is>
      </c>
      <c r="F18" s="10" t="inlineStr">
        <is>
          <t>Marketing</t>
        </is>
      </c>
      <c r="G18" s="10" t="inlineStr">
        <is>
          <t>Immediately</t>
        </is>
      </c>
    </row>
    <row r="19">
      <c r="A19" s="10" t="n">
        <v>15</v>
      </c>
      <c r="B19" s="10" t="inlineStr">
        <is>
          <t>Ground rules</t>
        </is>
      </c>
      <c r="C19" s="10" t="inlineStr">
        <is>
          <t>Employee / advisor social media rule circulated</t>
        </is>
      </c>
      <c r="D19" s="14" t="inlineStr">
        <is>
          <t>Not started</t>
        </is>
      </c>
      <c r="E19" s="10" t="inlineStr">
        <is>
          <t>Not written or sent</t>
        </is>
      </c>
      <c r="F19" s="10" t="inlineStr">
        <is>
          <t>Marketing + HR</t>
        </is>
      </c>
      <c r="G19" s="10" t="inlineStr">
        <is>
          <t>Immediately</t>
        </is>
      </c>
    </row>
    <row r="20">
      <c r="A20" s="10" t="n">
        <v>16</v>
      </c>
      <c r="B20" s="10" t="inlineStr">
        <is>
          <t>Ground rules</t>
        </is>
      </c>
      <c r="C20" s="10" t="inlineStr">
        <is>
          <t>Customer-facing pages stay as they are, no rebrand or content push</t>
        </is>
      </c>
      <c r="D20" s="12" t="inlineStr">
        <is>
          <t>Done</t>
        </is>
      </c>
      <c r="E20" s="10" t="inlineStr">
        <is>
          <t>No new campaign. Blog structure only, no new posts</t>
        </is>
      </c>
      <c r="F20" s="10" t="inlineStr">
        <is>
          <t>Marketing</t>
        </is>
      </c>
      <c r="G20" s="10" t="inlineStr">
        <is>
          <t>Ongoing</t>
        </is>
      </c>
    </row>
    <row r="21">
      <c r="A21" s="10" t="n">
        <v>17</v>
      </c>
      <c r="B21" s="10" t="inlineStr">
        <is>
          <t>Ground rules</t>
        </is>
      </c>
      <c r="C21" s="10" t="inlineStr">
        <is>
          <t>Anything mentioning the deal is filed the day it goes out</t>
        </is>
      </c>
      <c r="D21" s="14" t="inlineStr">
        <is>
          <t>Not started</t>
        </is>
      </c>
      <c r="E21" s="10" t="inlineStr">
        <is>
          <t>Applies from announcement. Rule written into the runbook</t>
        </is>
      </c>
      <c r="F21" s="10" t="inlineStr">
        <is>
          <t>Counsel + sponsor IR</t>
        </is>
      </c>
      <c r="G21" s="10" t="inlineStr">
        <is>
          <t>From announcement</t>
        </is>
      </c>
    </row>
    <row r="22">
      <c r="A22" s="10" t="n">
        <v>18</v>
      </c>
      <c r="B22" s="10" t="inlineStr">
        <is>
          <t>Stage 2</t>
        </is>
      </c>
      <c r="C22" s="10" t="inlineStr">
        <is>
          <t>Announcement day switch-on, Form 425 filings, media calendar</t>
        </is>
      </c>
      <c r="D22" s="12" t="inlineStr">
        <is>
          <t>Done on branch</t>
        </is>
      </c>
      <c r="E22" s="10" t="inlineStr">
        <is>
          <t>Runbook written: _s4/ANNOUNCEMENT_DAY.md</t>
        </is>
      </c>
      <c r="F22" s="10" t="inlineStr">
        <is>
          <t>Marketing + counsel</t>
        </is>
      </c>
      <c r="G22" s="10" t="inlineStr">
        <is>
          <t>BCA signing day</t>
        </is>
      </c>
    </row>
    <row r="23">
      <c r="A23" s="10" t="n">
        <v>19</v>
      </c>
      <c r="B23" s="10" t="inlineStr">
        <is>
          <t>Stage 3</t>
        </is>
      </c>
      <c r="C23" s="10" t="inlineStr">
        <is>
          <t>Legend update, S-4 link, equal prominence, archive check</t>
        </is>
      </c>
      <c r="D23" s="13" t="inlineStr">
        <is>
          <t>Partly done</t>
        </is>
      </c>
      <c r="E23" s="10" t="inlineStr">
        <is>
          <t>Legends drafted with both wordings; git archive check clean</t>
        </is>
      </c>
      <c r="F23" s="10" t="inlineStr">
        <is>
          <t>Marketing + counsel</t>
        </is>
      </c>
      <c r="G23" s="10" t="inlineStr">
        <is>
          <t>S-4 filing day</t>
        </is>
      </c>
    </row>
    <row r="24">
      <c r="A24" s="10" t="n">
        <v>20</v>
      </c>
      <c r="B24" s="10" t="inlineStr">
        <is>
          <t>Stage 3</t>
        </is>
      </c>
      <c r="C24" s="10" t="inlineStr">
        <is>
          <t>Vote and redemption page with the proxy solicitor</t>
        </is>
      </c>
      <c r="D24" s="14" t="inlineStr">
        <is>
          <t>Not started</t>
        </is>
      </c>
      <c r="E24" s="10" t="inlineStr">
        <is>
          <t>Section is commented into the Investors page draft</t>
        </is>
      </c>
      <c r="F24" s="10" t="inlineStr">
        <is>
          <t>Sponsor IR + Marketing</t>
        </is>
      </c>
      <c r="G24" s="10" t="inlineStr">
        <is>
          <t>S-4 effectiveness</t>
        </is>
      </c>
    </row>
    <row r="25">
      <c r="A25" s="10" t="n">
        <v>21</v>
      </c>
      <c r="B25" s="10" t="inlineStr">
        <is>
          <t>Closing</t>
        </is>
      </c>
      <c r="C25" s="10" t="inlineStr">
        <is>
          <t>Full IR section: ticker, governance, filings feed, Reg FD</t>
        </is>
      </c>
      <c r="D25" s="14" t="inlineStr">
        <is>
          <t>Not started</t>
        </is>
      </c>
      <c r="E25" s="10" t="inlineStr">
        <is>
          <t>Not started, correctly</t>
        </is>
      </c>
      <c r="F25" s="10" t="inlineStr">
        <is>
          <t>Marketing + CFO</t>
        </is>
      </c>
      <c r="G25" s="10" t="inlineStr">
        <is>
          <t>Closing</t>
        </is>
      </c>
    </row>
  </sheetData>
  <autoFilter ref="A4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40" customWidth="1" min="4" max="4"/>
    <col width="44" customWidth="1" min="5" max="5"/>
    <col width="15" customWidth="1" min="6" max="6"/>
    <col width="18" customWidth="1" min="7" max="7"/>
  </cols>
  <sheetData>
    <row r="1">
      <c r="A1" s="1" t="inlineStr">
        <is>
          <t>Investor deck (Aug 2026) read against the website</t>
        </is>
      </c>
    </row>
    <row r="2">
      <c r="A2" s="2" t="inlineStr">
        <is>
          <t>19 differences found. Status is as of the BCA-Ready branch. Where the deck is the one that is wrong, the fix belongs to the deck.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Website said</t>
        </is>
      </c>
      <c r="D4" s="3" t="inlineStr">
        <is>
          <t>Deck says</t>
        </is>
      </c>
      <c r="E4" s="3" t="inlineStr">
        <is>
          <t>Action</t>
        </is>
      </c>
      <c r="F4" s="3" t="inlineStr">
        <is>
          <t>Status</t>
        </is>
      </c>
      <c r="G4" s="3" t="inlineStr">
        <is>
          <t>Who fixes it</t>
        </is>
      </c>
    </row>
    <row r="5">
      <c r="A5" s="10" t="n">
        <v>1</v>
      </c>
      <c r="B5" s="10" t="inlineStr">
        <is>
          <t>EV case cost</t>
        </is>
      </c>
      <c r="C5" s="10" t="inlineStr">
        <is>
          <t>&lt;$1M vs $10M+, ~90% cost</t>
        </is>
      </c>
      <c r="D5" s="10" t="inlineStr">
        <is>
          <t>under $0.5M, 10x cheaper</t>
        </is>
      </c>
      <c r="E5" s="10" t="inlineStr">
        <is>
          <t>Pick one figure from the ledger and use it on site, deck and S-4</t>
        </is>
      </c>
      <c r="F5" s="14" t="inlineStr">
        <is>
          <t>Blocked</t>
        </is>
      </c>
      <c r="G5" s="10" t="inlineStr">
        <is>
          <t>CFO</t>
        </is>
      </c>
    </row>
    <row r="6">
      <c r="A6" s="10" t="n">
        <v>2</v>
      </c>
      <c r="B6" s="10" t="inlineStr">
        <is>
          <t>EV case speed</t>
        </is>
      </c>
      <c r="C6" s="10" t="inlineStr">
        <is>
          <t>18 to 9 months, 50%</t>
        </is>
      </c>
      <c r="D6" s="10" t="inlineStr">
        <is>
          <t>2x faster</t>
        </is>
      </c>
      <c r="E6" s="10" t="inlineStr">
        <is>
          <t>They agree. Use one phrasing everywhere</t>
        </is>
      </c>
      <c r="F6" s="13" t="inlineStr">
        <is>
          <t>Open</t>
        </is>
      </c>
      <c r="G6" s="10" t="inlineStr">
        <is>
          <t>Marketing</t>
        </is>
      </c>
    </row>
    <row r="7">
      <c r="A7" s="10" t="n">
        <v>3</v>
      </c>
      <c r="B7" s="10" t="inlineStr">
        <is>
          <t>Drone case figures</t>
        </is>
      </c>
      <c r="C7" s="10" t="inlineStr">
        <is>
          <t>$500k to $100k, 5x lower</t>
        </is>
      </c>
      <c r="D7" s="10" t="inlineStr">
        <is>
          <t>4x faster, -20% BOM, no $ figure</t>
        </is>
      </c>
      <c r="E7" s="10" t="inlineStr">
        <is>
          <t>Unsourced benchmark removed from the site</t>
        </is>
      </c>
      <c r="F7" s="12" t="inlineStr">
        <is>
          <t>Done on branch</t>
        </is>
      </c>
      <c r="G7" s="10" t="inlineStr">
        <is>
          <t>CFO</t>
        </is>
      </c>
    </row>
    <row r="8">
      <c r="A8" s="10" t="n">
        <v>4</v>
      </c>
      <c r="B8" s="10" t="inlineStr">
        <is>
          <t>Drone customer</t>
        </is>
      </c>
      <c r="C8" s="10" t="inlineStr">
        <is>
          <t>Anonymised on the branch</t>
        </is>
      </c>
      <c r="D8" s="10" t="inlineStr">
        <is>
          <t>Tier-1 Defense OEM plus a DRDO scientist quote</t>
        </is>
      </c>
      <c r="E8" s="10" t="inlineStr">
        <is>
          <t>Deck still identifies them. Get written permission or anonymise the deck</t>
        </is>
      </c>
      <c r="F8" s="14" t="inlineStr">
        <is>
          <t>Blocked</t>
        </is>
      </c>
      <c r="G8" s="10" t="inlineStr">
        <is>
          <t>CEO</t>
        </is>
      </c>
    </row>
    <row r="9">
      <c r="A9" s="10" t="n">
        <v>5</v>
      </c>
      <c r="B9" s="10" t="inlineStr">
        <is>
          <t>Clamp case</t>
        </is>
      </c>
      <c r="C9" s="10" t="inlineStr">
        <is>
          <t>7 to 3 hrs, &lt;1 week</t>
        </is>
      </c>
      <c r="D9" s="10" t="inlineStr">
        <is>
          <t>2x faster, supplied in days</t>
        </is>
      </c>
      <c r="E9" s="10" t="inlineStr">
        <is>
          <t>Align wording. 7 to 3 is 2.3x, so 2x is the safer claim</t>
        </is>
      </c>
      <c r="F9" s="13" t="inlineStr">
        <is>
          <t>Open</t>
        </is>
      </c>
      <c r="G9" s="10" t="inlineStr">
        <is>
          <t>COO</t>
        </is>
      </c>
    </row>
    <row r="10">
      <c r="A10" s="10" t="n">
        <v>6</v>
      </c>
      <c r="B10" s="10" t="inlineStr">
        <is>
          <t>Coffee case</t>
        </is>
      </c>
      <c r="C10" s="10" t="inlineStr">
        <is>
          <t>$200k to $100k, -20% BOM, 400/mo</t>
        </is>
      </c>
      <c r="D10" s="10" t="inlineStr">
        <is>
          <t>Not in the deck, dataroom only</t>
        </is>
      </c>
      <c r="E10" s="10" t="inlineStr">
        <is>
          <t>Pull the numbers or put the case in the filed deck</t>
        </is>
      </c>
      <c r="F10" s="14" t="inlineStr">
        <is>
          <t>Blocked</t>
        </is>
      </c>
      <c r="G10" s="10" t="inlineStr">
        <is>
          <t>CFO</t>
        </is>
      </c>
    </row>
    <row r="11">
      <c r="A11" s="10" t="n">
        <v>7</v>
      </c>
      <c r="B11" s="10" t="inlineStr">
        <is>
          <t>Profitability</t>
        </is>
      </c>
      <c r="C11" s="10" t="inlineStr">
        <is>
          <t>profitably, today</t>
        </is>
      </c>
      <c r="D11" s="10" t="inlineStr">
        <is>
          <t>EBITDA-positive by CY28E</t>
        </is>
      </c>
      <c r="E11" s="10" t="inlineStr">
        <is>
          <t>Removed from the site. Deck confirms the removal was right</t>
        </is>
      </c>
      <c r="F11" s="12" t="inlineStr">
        <is>
          <t>Done on branch</t>
        </is>
      </c>
      <c r="G11" s="10" t="inlineStr">
        <is>
          <t>CFO</t>
        </is>
      </c>
    </row>
    <row r="12">
      <c r="A12" s="10" t="n">
        <v>8</v>
      </c>
      <c r="B12" s="10" t="inlineStr">
        <is>
          <t>Product status</t>
        </is>
      </c>
      <c r="C12" s="10" t="inlineStr">
        <is>
          <t>Anvil, Orion, Atlas all LIVE</t>
        </is>
      </c>
      <c r="D12" s="10" t="inlineStr">
        <is>
          <t>Phase 2 in validation, no live claim</t>
        </is>
      </c>
      <c r="E12" s="10" t="inlineStr">
        <is>
          <t>Badges removed. Reinstate only per the S-4</t>
        </is>
      </c>
      <c r="F12" s="12" t="inlineStr">
        <is>
          <t>Done on branch</t>
        </is>
      </c>
      <c r="G12" s="10" t="inlineStr">
        <is>
          <t>CTO</t>
        </is>
      </c>
    </row>
    <row r="13">
      <c r="A13" s="10" t="n">
        <v>9</v>
      </c>
      <c r="B13" s="10" t="inlineStr">
        <is>
          <t>Offerings status</t>
        </is>
      </c>
      <c r="C13" s="10" t="inlineStr">
        <is>
          <t>9 categories, unlabelled</t>
        </is>
      </c>
      <c r="D13" s="10" t="inlineStr">
        <is>
          <t>Phase 1 (3) and Phase 2 (6)</t>
        </is>
      </c>
      <c r="E13" s="10" t="inlineStr">
        <is>
          <t>Labelled Near-term focus and Available</t>
        </is>
      </c>
      <c r="F13" s="12" t="inlineStr">
        <is>
          <t>Done on branch</t>
        </is>
      </c>
      <c r="G13" s="10" t="inlineStr">
        <is>
          <t>COO</t>
        </is>
      </c>
    </row>
    <row r="14">
      <c r="A14" s="10" t="n">
        <v>10</v>
      </c>
      <c r="B14" s="10" t="inlineStr">
        <is>
          <t>Data line</t>
        </is>
      </c>
      <c r="C14" s="10" t="inlineStr">
        <is>
          <t>no internet to scrape</t>
        </is>
      </c>
      <c r="D14" s="10" t="inlineStr">
        <is>
          <t>no large public datasets to scrape</t>
        </is>
      </c>
      <c r="E14" s="10" t="inlineStr">
        <is>
          <t>Site now uses the deck's wording</t>
        </is>
      </c>
      <c r="F14" s="12" t="inlineStr">
        <is>
          <t>Done on branch</t>
        </is>
      </c>
      <c r="G14" s="10" t="inlineStr">
        <is>
          <t>CTO</t>
        </is>
      </c>
    </row>
    <row r="15">
      <c r="A15" s="10" t="n">
        <v>11</v>
      </c>
      <c r="B15" s="10" t="inlineStr">
        <is>
          <t>CEO bio</t>
        </is>
      </c>
      <c r="C15" s="10" t="inlineStr">
        <is>
          <t>Fixed to acquired and expanded</t>
        </is>
      </c>
      <c r="D15" s="10" t="inlineStr">
        <is>
          <t>Still says built greenfield to 300k sq ft</t>
        </is>
      </c>
      <c r="E15" s="10" t="inlineStr">
        <is>
          <t>Fix the deck, or the two contradict each other</t>
        </is>
      </c>
      <c r="F15" s="14" t="inlineStr">
        <is>
          <t>Blocked</t>
        </is>
      </c>
      <c r="G15" s="10" t="inlineStr">
        <is>
          <t>CEO</t>
        </is>
      </c>
    </row>
    <row r="16">
      <c r="A16" s="10" t="n">
        <v>12</v>
      </c>
      <c r="B16" s="10" t="inlineStr">
        <is>
          <t>Footprint</t>
        </is>
      </c>
      <c r="C16" s="10" t="inlineStr">
        <is>
          <t>over 300,000 sq ft</t>
        </is>
      </c>
      <c r="D16" s="10" t="inlineStr">
        <is>
          <t>300k+, present footprint in India</t>
        </is>
      </c>
      <c r="E16" s="10" t="inlineStr">
        <is>
          <t>'in India' added on the site</t>
        </is>
      </c>
      <c r="F16" s="12" t="inlineStr">
        <is>
          <t>Done on branch</t>
        </is>
      </c>
      <c r="G16" s="10" t="inlineStr">
        <is>
          <t>CFO</t>
        </is>
      </c>
    </row>
    <row r="17">
      <c r="A17" s="10" t="n">
        <v>13</v>
      </c>
      <c r="B17" s="10" t="inlineStr">
        <is>
          <t>Entity / footer</t>
        </is>
      </c>
      <c r="C17" s="10" t="inlineStr">
        <is>
          <t>2026 NEMI LMM</t>
        </is>
      </c>
      <c r="D17" s="10" t="inlineStr">
        <is>
          <t>US HoldCo (Texas), India as subsidiary</t>
        </is>
      </c>
      <c r="E17" s="10" t="inlineStr">
        <is>
          <t>Footer takes the HoldCo legal name once fixed</t>
        </is>
      </c>
      <c r="F17" s="14" t="inlineStr">
        <is>
          <t>Blocked</t>
        </is>
      </c>
      <c r="G17" s="10" t="inlineStr">
        <is>
          <t>Counsel</t>
        </is>
      </c>
    </row>
    <row r="18">
      <c r="A18" s="10" t="n">
        <v>14</v>
      </c>
      <c r="B18" s="10" t="inlineStr">
        <is>
          <t>Board: Swaminathan</t>
        </is>
      </c>
      <c r="C18" s="10" t="inlineStr">
        <is>
          <t>Sam Swaminathan, Non-exec board</t>
        </is>
      </c>
      <c r="D18" s="10" t="inlineStr">
        <is>
          <t>Swaminathan V. (investor)</t>
        </is>
      </c>
      <c r="E18" s="10" t="inlineStr">
        <is>
          <t>Confirm whether he holds a board seat; align name</t>
        </is>
      </c>
      <c r="F18" s="14" t="inlineStr">
        <is>
          <t>Blocked</t>
        </is>
      </c>
      <c r="G18" s="10" t="inlineStr">
        <is>
          <t>CEO</t>
        </is>
      </c>
    </row>
    <row r="19">
      <c r="A19" s="10" t="n">
        <v>15</v>
      </c>
      <c r="B19" s="10" t="inlineStr">
        <is>
          <t>Board: Sampath</t>
        </is>
      </c>
      <c r="C19" s="10" t="inlineStr">
        <is>
          <t>Dr Sampath Ravinarayanan, Chairman AXISCADES</t>
        </is>
      </c>
      <c r="D19" s="10" t="inlineStr">
        <is>
          <t>Sampath Ravi Narayanan, CEO Axis Cades</t>
        </is>
      </c>
      <c r="E19" s="10" t="inlineStr">
        <is>
          <t>Align spelling and title. Also disclose any family relationship in the S-4</t>
        </is>
      </c>
      <c r="F19" s="14" t="inlineStr">
        <is>
          <t>Blocked</t>
        </is>
      </c>
      <c r="G19" s="10" t="inlineStr">
        <is>
          <t>CEO + counsel</t>
        </is>
      </c>
    </row>
    <row r="20">
      <c r="A20" s="10" t="n">
        <v>16</v>
      </c>
      <c r="B20" s="10" t="inlineStr">
        <is>
          <t>Board: Nishimura</t>
        </is>
      </c>
      <c r="C20" s="10" t="inlineStr">
        <is>
          <t>Board Advisor</t>
        </is>
      </c>
      <c r="D20" s="10" t="inlineStr">
        <is>
          <t>CEO Musashi India, largest investor</t>
        </is>
      </c>
      <c r="E20" s="10" t="inlineStr">
        <is>
          <t>Confirm advisor vs board. Ownership detail stays off the site</t>
        </is>
      </c>
      <c r="F20" s="14" t="inlineStr">
        <is>
          <t>Blocked</t>
        </is>
      </c>
      <c r="G20" s="10" t="inlineStr">
        <is>
          <t>CEO</t>
        </is>
      </c>
    </row>
    <row r="21">
      <c r="A21" s="10" t="n">
        <v>17</v>
      </c>
      <c r="B21" s="10" t="inlineStr">
        <is>
          <t>Board: Ramesh</t>
        </is>
      </c>
      <c r="C21" s="10" t="inlineStr">
        <is>
          <t>Headed McKinsey Industrial Practice for India</t>
        </is>
      </c>
      <c r="D21" s="10" t="inlineStr">
        <is>
          <t>Industrial South Asia head</t>
        </is>
      </c>
      <c r="E21" s="10" t="inlineStr">
        <is>
          <t>Align the two</t>
        </is>
      </c>
      <c r="F21" s="14" t="inlineStr">
        <is>
          <t>Blocked</t>
        </is>
      </c>
      <c r="G21" s="10" t="inlineStr">
        <is>
          <t>CEO</t>
        </is>
      </c>
    </row>
    <row r="22">
      <c r="A22" s="10" t="n">
        <v>18</v>
      </c>
      <c r="B22" s="10" t="inlineStr">
        <is>
          <t>Two CFOs</t>
        </is>
      </c>
      <c r="C22" s="10" t="inlineStr">
        <is>
          <t>Gokul CFO and Subramanian CFO India</t>
        </is>
      </c>
      <c r="D22" s="10" t="inlineStr">
        <is>
          <t>One CFO (deck is now out of date: Kevin Flick is CFO)</t>
        </is>
      </c>
      <c r="E22" s="10" t="inlineStr">
        <is>
          <t>India role retitled Finance Head; Kevin Flick added as CFO; Gokul moved to Chief Strategy Officer. The deck still needs the same change</t>
        </is>
      </c>
      <c r="F22" s="12" t="inlineStr">
        <is>
          <t>Done on branch</t>
        </is>
      </c>
      <c r="G22" s="10" t="inlineStr">
        <is>
          <t>Counsel</t>
        </is>
      </c>
    </row>
    <row r="23">
      <c r="A23" s="10" t="n">
        <v>19</v>
      </c>
      <c r="B23" s="10" t="inlineStr">
        <is>
          <t>COO bio</t>
        </is>
      </c>
      <c r="C23" s="10" t="inlineStr">
        <is>
          <t>20+ years automotive</t>
        </is>
      </c>
      <c r="D23" s="10" t="inlineStr">
        <is>
          <t>adds Nissan, Ford</t>
        </is>
      </c>
      <c r="E23" s="10" t="inlineStr">
        <is>
          <t>Fine as is. Match the S-4 bio word for word</t>
        </is>
      </c>
      <c r="F23" s="13" t="inlineStr">
        <is>
          <t>Open</t>
        </is>
      </c>
      <c r="G23" s="10" t="inlineStr">
        <is>
          <t>Counsel</t>
        </is>
      </c>
    </row>
  </sheetData>
  <autoFilter ref="A4:G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8" customWidth="1" min="4" max="4"/>
    <col width="20" customWidth="1" min="5" max="5"/>
    <col width="44" customWidth="1" min="6" max="6"/>
  </cols>
  <sheetData>
    <row r="1">
      <c r="A1" s="1" t="inlineStr">
        <is>
          <t>What is blocking, and on whom</t>
        </is>
      </c>
    </row>
    <row r="2">
      <c r="A2" s="2" t="inlineStr">
        <is>
          <t>Nothing here can be fixed by editing the site. Each needs a document, a decision or a fact.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What is needed</t>
        </is>
      </c>
      <c r="D4" s="3" t="inlineStr">
        <is>
          <t>Owner</t>
        </is>
      </c>
      <c r="E4" s="3" t="inlineStr">
        <is>
          <t>Due</t>
        </is>
      </c>
      <c r="F4" s="3" t="inlineStr">
        <is>
          <t>Risk if left</t>
        </is>
      </c>
    </row>
    <row r="5">
      <c r="A5" s="10" t="n">
        <v>1</v>
      </c>
      <c r="B5" s="10" t="inlineStr">
        <is>
          <t>invest.nemilmm.com and the Invest page</t>
        </is>
      </c>
      <c r="C5" s="10" t="inlineStr">
        <is>
          <t>Decision: gated NDA and accreditation portal, or remove the link</t>
        </is>
      </c>
      <c r="D5" s="10" t="inlineStr">
        <is>
          <t>CEO + US securities counsel</t>
        </is>
      </c>
      <c r="E5" s="10" t="inlineStr">
        <is>
          <t>This week</t>
        </is>
      </c>
      <c r="F5" s="10" t="inlineStr">
        <is>
          <t>The deck points investors at a blank page, with a SAFE deadline of 30 Sep 2026</t>
        </is>
      </c>
    </row>
    <row r="6">
      <c r="A6" s="10" t="n">
        <v>2</v>
      </c>
      <c r="B6" s="10" t="inlineStr">
        <is>
          <t>Case study evidence</t>
        </is>
      </c>
      <c r="C6" s="10" t="inlineStr">
        <is>
          <t>Source documents for the EV, clamp, coffee and drone figures</t>
        </is>
      </c>
      <c r="D6" s="10" t="inlineStr">
        <is>
          <t>CFO + COO</t>
        </is>
      </c>
      <c r="E6" s="10" t="inlineStr">
        <is>
          <t>Next 2 weeks</t>
        </is>
      </c>
      <c r="F6" s="10" t="inlineStr">
        <is>
          <t>These are the highest-risk claims on the site. Momentus was fined $7M for one such claim</t>
        </is>
      </c>
    </row>
    <row r="7">
      <c r="A7" s="10" t="n">
        <v>3</v>
      </c>
      <c r="B7" s="10" t="inlineStr">
        <is>
          <t>EV case cost figure</t>
        </is>
      </c>
      <c r="C7" s="10" t="inlineStr">
        <is>
          <t>One number, reconciled between site (&lt;$1M) and deck (under $0.5M)</t>
        </is>
      </c>
      <c r="D7" s="10" t="inlineStr">
        <is>
          <t>CFO</t>
        </is>
      </c>
      <c r="E7" s="10" t="inlineStr">
        <is>
          <t>Next 2 weeks</t>
        </is>
      </c>
      <c r="F7" s="10" t="inlineStr">
        <is>
          <t>Site and deck contradict each other in front of the SEC</t>
        </is>
      </c>
    </row>
    <row r="8">
      <c r="A8" s="10" t="n">
        <v>4</v>
      </c>
      <c r="B8" s="10" t="inlineStr">
        <is>
          <t>Coffee case benchmarks</t>
        </is>
      </c>
      <c r="C8" s="10" t="inlineStr">
        <is>
          <t>Written consent for the customer-shared quotes, or pull the numbers</t>
        </is>
      </c>
      <c r="D8" s="10" t="inlineStr">
        <is>
          <t>Sales + CFO</t>
        </is>
      </c>
      <c r="E8" s="10" t="inlineStr">
        <is>
          <t>Next 2 weeks</t>
        </is>
      </c>
      <c r="F8" s="10" t="inlineStr">
        <is>
          <t>Third-party data used without documented consent</t>
        </is>
      </c>
    </row>
    <row r="9">
      <c r="A9" s="10" t="n">
        <v>5</v>
      </c>
      <c r="B9" s="10" t="inlineStr">
        <is>
          <t>Defense UAS customer</t>
        </is>
      </c>
      <c r="C9" s="10" t="inlineStr">
        <is>
          <t>Written permission to name them, or anonymise the deck too</t>
        </is>
      </c>
      <c r="D9" s="10" t="inlineStr">
        <is>
          <t>CEO</t>
        </is>
      </c>
      <c r="E9" s="10" t="inlineStr">
        <is>
          <t>Before BCA signing</t>
        </is>
      </c>
      <c r="F9" s="10" t="inlineStr">
        <is>
          <t>Site and deck take opposite approaches to the same customer</t>
        </is>
      </c>
    </row>
    <row r="10">
      <c r="A10" s="10" t="n">
        <v>6</v>
      </c>
      <c r="B10" s="10" t="inlineStr">
        <is>
          <t>Board and bios</t>
        </is>
      </c>
      <c r="C10" s="10" t="inlineStr">
        <is>
          <t>Confirmed titles, seats and any family relationships</t>
        </is>
      </c>
      <c r="D10" s="10" t="inlineStr">
        <is>
          <t>CEO + counsel</t>
        </is>
      </c>
      <c r="E10" s="10" t="inlineStr">
        <is>
          <t>At S-4 draft</t>
        </is>
      </c>
      <c r="F10" s="10" t="inlineStr">
        <is>
          <t>S-4 lists directors and officers exactly; mismatches invite comment</t>
        </is>
      </c>
    </row>
    <row r="11">
      <c r="A11" s="10" t="n">
        <v>7</v>
      </c>
      <c r="B11" s="10" t="inlineStr">
        <is>
          <t>Legal entity name</t>
        </is>
      </c>
      <c r="C11" s="10" t="inlineStr">
        <is>
          <t>The US HoldCo name as the S-4 will describe it</t>
        </is>
      </c>
      <c r="D11" s="10" t="inlineStr">
        <is>
          <t>Counsel</t>
        </is>
      </c>
      <c r="E11" s="10" t="inlineStr">
        <is>
          <t>At S-4 draft</t>
        </is>
      </c>
      <c r="F11" s="10" t="inlineStr">
        <is>
          <t>Footer and filings would disagree</t>
        </is>
      </c>
    </row>
    <row r="12">
      <c r="A12" s="10" t="n">
        <v>8</v>
      </c>
      <c r="B12" s="10" t="inlineStr">
        <is>
          <t>Legends and FLS wording</t>
        </is>
      </c>
      <c r="C12" s="10" t="inlineStr">
        <is>
          <t>Counsel's final text replacing the placeholders</t>
        </is>
      </c>
      <c r="D12" s="10" t="inlineStr">
        <is>
          <t>Counsel</t>
        </is>
      </c>
      <c r="E12" s="10" t="inlineStr">
        <is>
          <t>Before BCA signing</t>
        </is>
      </c>
      <c r="F12" s="10" t="inlineStr">
        <is>
          <t>Placeholder wording cannot go live</t>
        </is>
      </c>
    </row>
    <row r="13">
      <c r="A13" s="10" t="n">
        <v>9</v>
      </c>
      <c r="B13" s="10" t="inlineStr">
        <is>
          <t>Employee and advisor social rule</t>
        </is>
      </c>
      <c r="C13" s="10" t="inlineStr">
        <is>
          <t>Written and circulated; sponsor side mirrors it</t>
        </is>
      </c>
      <c r="D13" s="10" t="inlineStr">
        <is>
          <t>Marketing + HR</t>
        </is>
      </c>
      <c r="E13" s="10" t="inlineStr">
        <is>
          <t>Immediately</t>
        </is>
      </c>
      <c r="F13" s="10" t="inlineStr">
        <is>
          <t>One personal post can become an unfiled communication</t>
        </is>
      </c>
    </row>
    <row r="14">
      <c r="A14" s="10" t="n">
        <v>10</v>
      </c>
      <c r="B14" s="10" t="inlineStr">
        <is>
          <t>Wayback and social archive check</t>
        </is>
      </c>
      <c r="C14" s="10" t="inlineStr">
        <is>
          <t>Check cached pages, LinkedIn, X and invest.nemilmm.com</t>
        </is>
      </c>
      <c r="D14" s="10" t="inlineStr">
        <is>
          <t>Marketing</t>
        </is>
      </c>
      <c r="E14" s="10" t="inlineStr">
        <is>
          <t>Next 2 weeks</t>
        </is>
      </c>
      <c r="F14" s="10" t="inlineStr">
        <is>
          <t>Git history is clean, but cached pages have not been checked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2026-09-23T06:08:11Z</dcterms:created>
  <dcterms:modified xmlns:dcterms="http://purl.org/dc/terms/" xmlns:xsi="http://www.w3.org/2001/XMLSchema-instance" xsi:type="dcterms:W3CDTF">2026-09-23T09:58:00Z</dcterms:modified>
</cp:coreProperties>
</file>