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Change Log" sheetId="2" state="visible" r:id="rId2"/>
    <sheet xmlns:r="http://schemas.openxmlformats.org/officeDocument/2006/relationships" name="Plan Tracker" sheetId="3" state="visible" r:id="rId3"/>
    <sheet xmlns:r="http://schemas.openxmlformats.org/officeDocument/2006/relationships" name="Deck vs Site" sheetId="4" state="visible" r:id="rId4"/>
    <sheet xmlns:r="http://schemas.openxmlformats.org/officeDocument/2006/relationships" name="Open Items" sheetId="5" state="visible" r:id="rId5"/>
  </sheets>
  <definedNames>
    <definedName name="_xlnm._FilterDatabase" localSheetId="1" hidden="1">'Change Log'!$A$4:$L$28</definedName>
    <definedName name="_xlnm._FilterDatabase" localSheetId="2" hidden="1">'Plan Tracker'!$A$4:$G$25</definedName>
    <definedName name="_xlnm._FilterDatabase" localSheetId="3" hidden="1">'Deck vs Site'!$A$4:$G$23</definedName>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Arial"/>
      <b val="1"/>
      <color rgb="000B5D47"/>
      <sz val="14"/>
    </font>
    <font>
      <name val="Arial"/>
      <i val="1"/>
      <color rgb="00555555"/>
      <sz val="9"/>
    </font>
    <font>
      <name val="Arial"/>
      <b val="1"/>
      <color rgb="00FFFFFF"/>
      <sz val="10"/>
    </font>
    <font>
      <name val="Arial"/>
      <sz val="9"/>
    </font>
    <font>
      <name val="Arial"/>
      <b val="1"/>
      <sz val="9"/>
    </font>
    <font>
      <name val="Arial"/>
      <b val="1"/>
      <sz val="10"/>
    </font>
    <font>
      <name val="Arial"/>
      <sz val="10"/>
    </font>
    <font>
      <name val="Arial"/>
      <b val="1"/>
      <color rgb="000B5D47"/>
    </font>
  </fonts>
  <fills count="7">
    <fill>
      <patternFill/>
    </fill>
    <fill>
      <patternFill patternType="gray125"/>
    </fill>
    <fill>
      <patternFill patternType="solid">
        <fgColor rgb="000B5D47"/>
      </patternFill>
    </fill>
    <fill>
      <patternFill patternType="solid">
        <fgColor rgb="00FFFDF5"/>
      </patternFill>
    </fill>
    <fill>
      <patternFill patternType="solid">
        <fgColor rgb="00C9E8D8"/>
      </patternFill>
    </fill>
    <fill>
      <patternFill patternType="solid">
        <fgColor rgb="00FFF1C2"/>
      </patternFill>
    </fill>
    <fill>
      <patternFill patternType="solid">
        <fgColor rgb="00F8D7D3"/>
      </patternFill>
    </fill>
  </fills>
  <borders count="2">
    <border>
      <left/>
      <right/>
      <top/>
      <bottom/>
      <diagonal/>
    </border>
    <border>
      <left style="thin">
        <color rgb="00D9D4CA"/>
      </left>
      <right style="thin">
        <color rgb="00D9D4CA"/>
      </right>
      <top style="thin">
        <color rgb="00D9D4CA"/>
      </top>
      <bottom style="thin">
        <color rgb="00D9D4CA"/>
      </bottom>
    </border>
  </borders>
  <cellStyleXfs count="1">
    <xf numFmtId="0" fontId="0" fillId="0" borderId="0"/>
  </cellStyleXfs>
  <cellXfs count="15">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vertical="center" wrapText="1"/>
    </xf>
    <xf numFmtId="0" fontId="6" fillId="0" borderId="1" pivotButton="0" quotePrefix="0" xfId="0"/>
    <xf numFmtId="0" fontId="7" fillId="0" borderId="1" pivotButton="0" quotePrefix="0" xfId="0"/>
    <xf numFmtId="0" fontId="7" fillId="4" borderId="1" pivotButton="0" quotePrefix="0" xfId="0"/>
    <xf numFmtId="0" fontId="7" fillId="5" borderId="1" pivotButton="0" quotePrefix="0" xfId="0"/>
    <xf numFmtId="0" fontId="8" fillId="0" borderId="0" pivotButton="0" quotePrefix="0" xfId="0"/>
    <xf numFmtId="0" fontId="7" fillId="0" borderId="0" pivotButton="0" quotePrefix="0" xfId="0"/>
    <xf numFmtId="0" fontId="4" fillId="0" borderId="1" applyAlignment="1" pivotButton="0" quotePrefix="0" xfId="0">
      <alignment vertical="top" wrapText="1"/>
    </xf>
    <xf numFmtId="0" fontId="4" fillId="3" borderId="1" applyAlignment="1" pivotButton="0" quotePrefix="0" xfId="0">
      <alignment vertical="top" wrapText="1"/>
    </xf>
    <xf numFmtId="0" fontId="5" fillId="4" borderId="1" applyAlignment="1" pivotButton="0" quotePrefix="0" xfId="0">
      <alignment vertical="top" wrapText="1"/>
    </xf>
    <xf numFmtId="0" fontId="5" fillId="5" borderId="1" applyAlignment="1" pivotButton="0" quotePrefix="0" xfId="0">
      <alignment vertical="top" wrapText="1"/>
    </xf>
    <xf numFmtId="0" fontId="5" fillId="6" borderId="1" applyAlignment="1" pivotButton="0" quotePrefix="0" xfId="0">
      <alignment vertical="top" wrapText="1"/>
    </xf>
  </cellXfs>
  <cellStyles count="1">
    <cellStyle name="Normal" xfId="0" builtinId="0" hidden="0"/>
  </cellStyles>
  <dxfs count="2">
    <dxf>
      <fill>
        <patternFill patternType="solid">
          <fgColor rgb="00C9E8D8"/>
        </patternFill>
      </fill>
    </dxf>
    <dxf>
      <fill>
        <patternFill patternType="solid">
          <fgColor rgb="00FFF1C2"/>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cols>
    <col width="24" customWidth="1" min="1" max="1"/>
    <col width="10" customWidth="1" min="2" max="2"/>
    <col width="10" customWidth="1" min="3" max="3"/>
    <col width="15" customWidth="1" min="4" max="4"/>
    <col width="17" customWidth="1" min="5" max="5"/>
    <col width="20" customWidth="1" min="6" max="6"/>
  </cols>
  <sheetData>
    <row r="1">
      <c r="A1" s="1" t="inlineStr">
        <is>
          <t>S-4 change log · summary</t>
        </is>
      </c>
    </row>
    <row r="2">
      <c r="A2" s="2" t="inlineStr">
        <is>
          <t>BCA-Ready branch, as of 23 Sep 2026. Nothing is live: main and nemilmm.com are untouched.</t>
        </is>
      </c>
    </row>
    <row r="4" ht="30" customHeight="1">
      <c r="A4" s="3" t="inlineStr">
        <is>
          <t>Tracker</t>
        </is>
      </c>
      <c r="B4" s="3" t="inlineStr">
        <is>
          <t>Items</t>
        </is>
      </c>
      <c r="C4" s="3" t="inlineStr">
        <is>
          <t>Done</t>
        </is>
      </c>
      <c r="D4" s="3" t="inlineStr">
        <is>
          <t>Open / partly</t>
        </is>
      </c>
      <c r="E4" s="3" t="inlineStr">
        <is>
          <t>Blocked or due</t>
        </is>
      </c>
      <c r="F4" s="3" t="inlineStr">
        <is>
          <t>Cleared by counsel</t>
        </is>
      </c>
    </row>
    <row r="5">
      <c r="A5" s="4" t="inlineStr">
        <is>
          <t>Plan document</t>
        </is>
      </c>
      <c r="B5" s="5">
        <f>25-4</f>
        <v/>
      </c>
      <c r="C5" s="6">
        <f>COUNTIF('Plan Tracker'!$D$5:$D$25,"Done*")</f>
        <v/>
      </c>
      <c r="D5" s="5">
        <f>COUNTIF('Plan Tracker'!$D$5:$D$25,"Open")+COUNTIF('Plan Tracker'!$D$5:$D$25,"Partly done")</f>
        <v/>
      </c>
      <c r="E5" s="7">
        <f>COUNTIF('Plan Tracker'!$D$5:$D$25,"Blocked")+COUNTIF('Plan Tracker'!$D$5:$D$25,"Decision due")+COUNTIF('Plan Tracker'!$D$5:$D$25,"Not started")</f>
        <v/>
      </c>
      <c r="F5" s="5" t="inlineStr"/>
    </row>
    <row r="6">
      <c r="A6" s="4" t="inlineStr">
        <is>
          <t>Deck vs site</t>
        </is>
      </c>
      <c r="B6" s="5">
        <f>23-4</f>
        <v/>
      </c>
      <c r="C6" s="6">
        <f>COUNTIF('Deck vs Site'!$F$5:$F$23,"Done*")</f>
        <v/>
      </c>
      <c r="D6" s="5">
        <f>COUNTIF('Deck vs Site'!$F$5:$F$23,"Open")</f>
        <v/>
      </c>
      <c r="E6" s="7">
        <f>COUNTIF('Deck vs Site'!$F$5:$F$23,"Blocked")</f>
        <v/>
      </c>
      <c r="F6" s="5" t="inlineStr"/>
    </row>
    <row r="7">
      <c r="A7" s="4" t="inlineStr">
        <is>
          <t>Changes made</t>
        </is>
      </c>
      <c r="B7" s="5" t="n">
        <v>24</v>
      </c>
      <c r="C7" s="6" t="n">
        <v>24</v>
      </c>
      <c r="D7" s="5" t="inlineStr">
        <is>
          <t>0</t>
        </is>
      </c>
      <c r="E7" s="7" t="inlineStr">
        <is>
          <t>0</t>
        </is>
      </c>
      <c r="F7" s="5">
        <f>COUNTIF('Change Log'!$K$5:$K$28,"Cleared*")</f>
        <v/>
      </c>
    </row>
    <row r="8">
      <c r="A8" s="4" t="inlineStr">
        <is>
          <t>Open items</t>
        </is>
      </c>
      <c r="B8" s="5">
        <f>14-4</f>
        <v/>
      </c>
      <c r="C8" s="6" t="inlineStr">
        <is>
          <t>0</t>
        </is>
      </c>
      <c r="D8" s="5" t="inlineStr">
        <is>
          <t>0</t>
        </is>
      </c>
      <c r="E8" s="7">
        <f>14-4</f>
        <v/>
      </c>
      <c r="F8" s="5" t="inlineStr"/>
    </row>
    <row r="10">
      <c r="A10" s="8" t="inlineStr">
        <is>
          <t>Decisions due this week</t>
        </is>
      </c>
    </row>
    <row r="11">
      <c r="A11" s="9" t="inlineStr">
        <is>
          <t>- invest.nemilmm.com: gated portal or remove the link (CEO + counsel). The deck's SAFE deadline is 30 Sep 2026</t>
        </is>
      </c>
    </row>
    <row r="12">
      <c r="A12" s="9" t="inlineStr">
        <is>
          <t>- Who signs off the evidence audit, and when counsel starts pre-clearing site changes</t>
        </is>
      </c>
    </row>
    <row r="13">
      <c r="A13" s="9" t="inlineStr">
        <is>
          <t>- Whether the deck gets the same fixes as the site: greenfield bio, DRDO quote, EV cost figure</t>
        </is>
      </c>
    </row>
    <row r="15">
      <c r="A15" s="2" t="inlineStr">
        <is>
          <t>Status words: Done on branch = changed, not live. Open = needs work. Blocked = needs a fact, a document or a decision.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28"/>
  <sheetViews>
    <sheetView workbookViewId="0">
      <pane xSplit="4" ySplit="4" topLeftCell="E5" activePane="bottomRight" state="frozen"/>
      <selection pane="topRight" activeCell="A1" sqref="A1"/>
      <selection pane="bottomLeft" activeCell="A1" sqref="A1"/>
      <selection pane="bottomRight" activeCell="A1" sqref="A1"/>
    </sheetView>
  </sheetViews>
  <sheetFormatPr baseColWidth="8" defaultRowHeight="15"/>
  <cols>
    <col width="5" customWidth="1" min="1" max="1"/>
    <col width="11" customWidth="1" min="2" max="2"/>
    <col width="10" customWidth="1" min="3" max="3"/>
    <col width="22" customWidth="1" min="4" max="4"/>
    <col width="34" customWidth="1" min="5" max="5"/>
    <col width="40" customWidth="1" min="6" max="6"/>
    <col width="40" customWidth="1" min="7" max="7"/>
    <col width="34" customWidth="1" min="8" max="8"/>
    <col width="18" customWidth="1" min="9" max="9"/>
    <col width="14" customWidth="1" min="10" max="10"/>
    <col width="15" customWidth="1" min="11" max="11"/>
    <col width="11" customWidth="1" min="12" max="12"/>
  </cols>
  <sheetData>
    <row r="1">
      <c r="A1" s="1" t="inlineStr">
        <is>
          <t>NEMI LMM site change log (S-4 process)</t>
        </is>
      </c>
    </row>
    <row r="2">
      <c r="A2" s="2" t="inlineStr">
        <is>
          <t>Every change to nemilmm.com from 22 Sep 2026 until closing. Purpose: show that nothing changed because of the offering. Nothing below is live yet.</t>
        </is>
      </c>
    </row>
    <row r="4" ht="30" customHeight="1">
      <c r="A4" s="3" t="inlineStr">
        <is>
          <t>#</t>
        </is>
      </c>
      <c r="B4" s="3" t="inlineStr">
        <is>
          <t>Date</t>
        </is>
      </c>
      <c r="C4" s="3" t="inlineStr">
        <is>
          <t>Commit</t>
        </is>
      </c>
      <c r="D4" s="3" t="inlineStr">
        <is>
          <t>Page(s)</t>
        </is>
      </c>
      <c r="E4" s="3" t="inlineStr">
        <is>
          <t>What changed</t>
        </is>
      </c>
      <c r="F4" s="3" t="inlineStr">
        <is>
          <t>Before</t>
        </is>
      </c>
      <c r="G4" s="3" t="inlineStr">
        <is>
          <t>After</t>
        </is>
      </c>
      <c r="H4" s="3" t="inlineStr">
        <is>
          <t>Why</t>
        </is>
      </c>
      <c r="I4" s="3" t="inlineStr">
        <is>
          <t>Source</t>
        </is>
      </c>
      <c r="J4" s="3" t="inlineStr">
        <is>
          <t>Owner</t>
        </is>
      </c>
      <c r="K4" s="3" t="inlineStr">
        <is>
          <t>Counsel sign-off</t>
        </is>
      </c>
      <c r="L4" s="3" t="inlineStr">
        <is>
          <t>Live on site</t>
        </is>
      </c>
    </row>
    <row r="5">
      <c r="A5" s="10" t="n">
        <v>1</v>
      </c>
      <c r="B5" s="10" t="inlineStr">
        <is>
          <t>2026-09-22</t>
        </is>
      </c>
      <c r="C5" s="10" t="inlineStr">
        <is>
          <t>b616f12</t>
        </is>
      </c>
      <c r="D5" s="10" t="inlineStr">
        <is>
          <t>about.html</t>
        </is>
      </c>
      <c r="E5" s="10" t="inlineStr">
        <is>
          <t>CEO bio corrected</t>
        </is>
      </c>
      <c r="F5" s="10" t="inlineStr">
        <is>
          <t>Built NEMI greenfield to 300k sq ft</t>
        </is>
      </c>
      <c r="G5" s="10" t="inlineStr">
        <is>
          <t>Acquired and expanded NEMI's manufacturing base to over 300,000 sq ft</t>
        </is>
      </c>
      <c r="H5" s="10" t="inlineStr">
        <is>
          <t>MaaS business was acquired 2 years ago; greenfield contradicts the letter and the deck</t>
        </is>
      </c>
      <c r="I5" s="10" t="inlineStr">
        <is>
          <t>Plan: fix table</t>
        </is>
      </c>
      <c r="J5" s="10" t="inlineStr">
        <is>
          <t>CFO</t>
        </is>
      </c>
      <c r="K5" s="11" t="inlineStr">
        <is>
          <t>Pending</t>
        </is>
      </c>
      <c r="L5" s="11" t="inlineStr">
        <is>
          <t>No</t>
        </is>
      </c>
    </row>
    <row r="6">
      <c r="A6" s="10" t="n">
        <v>2</v>
      </c>
      <c r="B6" s="10" t="inlineStr">
        <is>
          <t>2026-09-22</t>
        </is>
      </c>
      <c r="C6" s="10" t="inlineStr">
        <is>
          <t>b616f12</t>
        </is>
      </c>
      <c r="D6" s="10" t="inlineStr">
        <is>
          <t>home, about, master-plan</t>
        </is>
      </c>
      <c r="E6" s="10" t="inlineStr">
        <is>
          <t>Profitability claim removed</t>
        </is>
      </c>
      <c r="F6" s="10" t="inlineStr">
        <is>
          <t>sell Manufacturing-as-a-Service, profitably, today</t>
        </is>
      </c>
      <c r="G6" s="10" t="inlineStr">
        <is>
          <t>sell Manufacturing-as-a-Service to outside customers</t>
        </is>
      </c>
      <c r="H6" s="10" t="inlineStr">
        <is>
          <t>Consolidated financials show losses; deck says EBITDA-positive only by CY28E</t>
        </is>
      </c>
      <c r="I6" s="10" t="inlineStr">
        <is>
          <t>Plan: fix table</t>
        </is>
      </c>
      <c r="J6" s="10" t="inlineStr">
        <is>
          <t>CFO</t>
        </is>
      </c>
      <c r="K6" s="11" t="inlineStr">
        <is>
          <t>Pending</t>
        </is>
      </c>
      <c r="L6" s="11" t="inlineStr">
        <is>
          <t>No</t>
        </is>
      </c>
    </row>
    <row r="7">
      <c r="A7" s="10" t="n">
        <v>3</v>
      </c>
      <c r="B7" s="10" t="inlineStr">
        <is>
          <t>2026-09-22</t>
        </is>
      </c>
      <c r="C7" s="10" t="inlineStr">
        <is>
          <t>b616f12</t>
        </is>
      </c>
      <c r="D7" s="10" t="inlineStr">
        <is>
          <t>about, master-plan</t>
        </is>
      </c>
      <c r="E7" s="10" t="inlineStr">
        <is>
          <t>Letter profitability lines softened</t>
        </is>
      </c>
      <c r="F7" s="10" t="inlineStr">
        <is>
          <t>MaaS is profitable on its own / throws off real cash / a business that already works</t>
        </is>
      </c>
      <c r="G7" s="10" t="inlineStr">
        <is>
          <t>we believe MaaS can stand on its own / has historically carried higher margins / an operating manufacturing business</t>
        </is>
      </c>
      <c r="H7" s="10" t="inlineStr">
        <is>
          <t>Same reason; unqualified claims will not match the S-4</t>
        </is>
      </c>
      <c r="I7" s="10" t="inlineStr">
        <is>
          <t>Plan: fix table</t>
        </is>
      </c>
      <c r="J7" s="10" t="inlineStr">
        <is>
          <t>CFO</t>
        </is>
      </c>
      <c r="K7" s="11" t="inlineStr">
        <is>
          <t>Pending</t>
        </is>
      </c>
      <c r="L7" s="11" t="inlineStr">
        <is>
          <t>No</t>
        </is>
      </c>
    </row>
    <row r="8">
      <c r="A8" s="10" t="n">
        <v>4</v>
      </c>
      <c r="B8" s="10" t="inlineStr">
        <is>
          <t>2026-09-22</t>
        </is>
      </c>
      <c r="C8" s="10" t="inlineStr">
        <is>
          <t>b616f12</t>
        </is>
      </c>
      <c r="D8" s="10" t="inlineStr">
        <is>
          <t>about, master-plan</t>
        </is>
      </c>
      <c r="E8" s="10" t="inlineStr">
        <is>
          <t>Absolutes softened</t>
        </is>
      </c>
      <c r="F8" s="10" t="inlineStr">
        <is>
          <t>The only way to get the data...</t>
        </is>
      </c>
      <c r="G8" s="10" t="inlineStr">
        <is>
          <t>We believe the most reliable way to get the data...</t>
        </is>
      </c>
      <c r="H8" s="10" t="inlineStr">
        <is>
          <t>Absolute with no basis disclosure</t>
        </is>
      </c>
      <c r="I8" s="10" t="inlineStr">
        <is>
          <t>Plan: fix table</t>
        </is>
      </c>
      <c r="J8" s="10" t="inlineStr">
        <is>
          <t>Counsel</t>
        </is>
      </c>
      <c r="K8" s="11" t="inlineStr">
        <is>
          <t>Pending</t>
        </is>
      </c>
      <c r="L8" s="11" t="inlineStr">
        <is>
          <t>No</t>
        </is>
      </c>
    </row>
    <row r="9">
      <c r="A9" s="10" t="n">
        <v>5</v>
      </c>
      <c r="B9" s="10" t="inlineStr">
        <is>
          <t>2026-09-22</t>
        </is>
      </c>
      <c r="C9" s="10" t="inlineStr">
        <is>
          <t>b616f12</t>
        </is>
      </c>
      <c r="D9" s="10" t="inlineStr">
        <is>
          <t>about, master-plan</t>
        </is>
      </c>
      <c r="E9" s="10" t="inlineStr">
        <is>
          <t>Prediction reframed</t>
        </is>
      </c>
      <c r="F9" s="10" t="inlineStr">
        <is>
          <t>At the end of Phase 2, I believe even cellphone manufacturing can be moved back to the US</t>
        </is>
      </c>
      <c r="G9" s="10" t="inlineStr">
        <is>
          <t>It is our ambition that, by the end of Phase 2, even cellphone manufacturing could be moved back to the US</t>
        </is>
      </c>
      <c r="H9" s="10" t="inlineStr">
        <is>
          <t>Prediction with no safe harbour for de-SPACs</t>
        </is>
      </c>
      <c r="I9" s="10" t="inlineStr">
        <is>
          <t>Plan: fix table</t>
        </is>
      </c>
      <c r="J9" s="10" t="inlineStr">
        <is>
          <t>Counsel</t>
        </is>
      </c>
      <c r="K9" s="11" t="inlineStr">
        <is>
          <t>Pending</t>
        </is>
      </c>
      <c r="L9" s="11" t="inlineStr">
        <is>
          <t>No</t>
        </is>
      </c>
    </row>
    <row r="10">
      <c r="A10" s="10" t="n">
        <v>6</v>
      </c>
      <c r="B10" s="10" t="inlineStr">
        <is>
          <t>2026-09-22</t>
        </is>
      </c>
      <c r="C10" s="10" t="inlineStr">
        <is>
          <t>b616f12</t>
        </is>
      </c>
      <c r="D10" s="10" t="inlineStr">
        <is>
          <t>about, master-plan</t>
        </is>
      </c>
      <c r="E10" s="10" t="inlineStr">
        <is>
          <t>Forward-looking statements note added</t>
        </is>
      </c>
      <c r="F10" s="10" t="inlineStr">
        <is>
          <t>(none)</t>
        </is>
      </c>
      <c r="G10" s="10" t="inlineStr">
        <is>
          <t>FLS note under the letter, placeholder wording</t>
        </is>
      </c>
      <c r="H10" s="10" t="inlineStr">
        <is>
          <t>Plan requires a short FLS note under the letter</t>
        </is>
      </c>
      <c r="I10" s="10" t="inlineStr">
        <is>
          <t>Plan: fix table</t>
        </is>
      </c>
      <c r="J10" s="10" t="inlineStr">
        <is>
          <t>Counsel</t>
        </is>
      </c>
      <c r="K10" s="11" t="inlineStr">
        <is>
          <t>Pending</t>
        </is>
      </c>
      <c r="L10" s="11" t="inlineStr">
        <is>
          <t>No</t>
        </is>
      </c>
    </row>
    <row r="11">
      <c r="A11" s="10" t="n">
        <v>7</v>
      </c>
      <c r="B11" s="10" t="inlineStr">
        <is>
          <t>2026-09-22</t>
        </is>
      </c>
      <c r="C11" s="10" t="inlineStr">
        <is>
          <t>b616f12</t>
        </is>
      </c>
      <c r="D11" s="10" t="inlineStr">
        <is>
          <t>home.html</t>
        </is>
      </c>
      <c r="E11" s="10" t="inlineStr">
        <is>
          <t>LMM capability claim softened</t>
        </is>
      </c>
      <c r="F11" s="10" t="inlineStr">
        <is>
          <t>Our LMM runs all of them, and every deployment compounds system intelligence</t>
        </is>
      </c>
      <c r="G11" s="10" t="inlineStr">
        <is>
          <t>Our LMM is built to run all of them, and each deployment is designed to feed back into the system</t>
        </is>
      </c>
      <c r="H11" s="10" t="inlineStr">
        <is>
          <t>Absolute technical claim, not yet evidenced</t>
        </is>
      </c>
      <c r="I11" s="10" t="inlineStr">
        <is>
          <t>Plan: ground rules</t>
        </is>
      </c>
      <c r="J11" s="10" t="inlineStr">
        <is>
          <t>CTO</t>
        </is>
      </c>
      <c r="K11" s="11" t="inlineStr">
        <is>
          <t>Pending</t>
        </is>
      </c>
      <c r="L11" s="11" t="inlineStr">
        <is>
          <t>No</t>
        </is>
      </c>
    </row>
    <row r="12">
      <c r="A12" s="10" t="n">
        <v>8</v>
      </c>
      <c r="B12" s="10" t="inlineStr">
        <is>
          <t>2026-09-22</t>
        </is>
      </c>
      <c r="C12" s="10" t="inlineStr">
        <is>
          <t>b616f12</t>
        </is>
      </c>
      <c r="D12" s="10" t="inlineStr">
        <is>
          <t>home.html</t>
        </is>
      </c>
      <c r="E12" s="10" t="inlineStr">
        <is>
          <t>Live badges removed</t>
        </is>
      </c>
      <c r="F12" s="10" t="inlineStr">
        <is>
          <t>Anvil LIVE / Orion LIVE / Atlas LIVE</t>
        </is>
      </c>
      <c r="G12" s="10" t="inlineStr">
        <is>
          <t>(badges removed)</t>
        </is>
      </c>
      <c r="H12" s="10" t="inlineStr">
        <is>
          <t>Status not evidenced; deck shows Phase 2 still in validation. Momentus pattern</t>
        </is>
      </c>
      <c r="I12" s="10" t="inlineStr">
        <is>
          <t>Plan: fix table</t>
        </is>
      </c>
      <c r="J12" s="10" t="inlineStr">
        <is>
          <t>CTO</t>
        </is>
      </c>
      <c r="K12" s="11" t="inlineStr">
        <is>
          <t>Pending</t>
        </is>
      </c>
      <c r="L12" s="11" t="inlineStr">
        <is>
          <t>No</t>
        </is>
      </c>
    </row>
    <row r="13">
      <c r="A13" s="10" t="n">
        <v>9</v>
      </c>
      <c r="B13" s="10" t="inlineStr">
        <is>
          <t>2026-09-22</t>
        </is>
      </c>
      <c r="C13" s="10" t="inlineStr">
        <is>
          <t>b616f12</t>
        </is>
      </c>
      <c r="D13" s="10" t="inlineStr">
        <is>
          <t>offerings.html</t>
        </is>
      </c>
      <c r="E13" s="10" t="inlineStr">
        <is>
          <t>Factory count reworded</t>
        </is>
      </c>
      <c r="F13" s="10" t="inlineStr">
        <is>
          <t>9 category factories, one stack (stat + meta)</t>
        </is>
      </c>
      <c r="G13" s="10" t="inlineStr">
        <is>
          <t>9 manufacturing categories, one stack</t>
        </is>
      </c>
      <c r="H13" s="10" t="inlineStr">
        <is>
          <t>Implied nine operating factories</t>
        </is>
      </c>
      <c r="I13" s="10" t="inlineStr">
        <is>
          <t>Plan: fix table</t>
        </is>
      </c>
      <c r="J13" s="10" t="inlineStr">
        <is>
          <t>COO</t>
        </is>
      </c>
      <c r="K13" s="11" t="inlineStr">
        <is>
          <t>Pending</t>
        </is>
      </c>
      <c r="L13" s="11" t="inlineStr">
        <is>
          <t>No</t>
        </is>
      </c>
    </row>
    <row r="14">
      <c r="A14" s="10" t="n">
        <v>10</v>
      </c>
      <c r="B14" s="10" t="inlineStr">
        <is>
          <t>2026-09-22</t>
        </is>
      </c>
      <c r="C14" s="10" t="inlineStr">
        <is>
          <t>b616f12</t>
        </is>
      </c>
      <c r="D14" s="10" t="inlineStr">
        <is>
          <t>case-studies, case-messenger</t>
        </is>
      </c>
      <c r="E14" s="10" t="inlineStr">
        <is>
          <t>BNC labelled as related party</t>
        </is>
      </c>
      <c r="F14" s="10" t="inlineStr">
        <is>
          <t>Client: BNC Motors · India</t>
        </is>
      </c>
      <c r="G14" s="10" t="inlineStr">
        <is>
          <t>Client: BNC Motors · India (NEMI subsidiary, internal program)</t>
        </is>
      </c>
      <c r="H14" s="10" t="inlineStr">
        <is>
          <t>Related-party result sat beside third-party cases</t>
        </is>
      </c>
      <c r="I14" s="10" t="inlineStr">
        <is>
          <t>Plan: fix table</t>
        </is>
      </c>
      <c r="J14" s="10" t="inlineStr">
        <is>
          <t>CFO</t>
        </is>
      </c>
      <c r="K14" s="11" t="inlineStr">
        <is>
          <t>Pending</t>
        </is>
      </c>
      <c r="L14" s="11" t="inlineStr">
        <is>
          <t>No</t>
        </is>
      </c>
    </row>
    <row r="15">
      <c r="A15" s="10" t="n">
        <v>11</v>
      </c>
      <c r="B15" s="10" t="inlineStr">
        <is>
          <t>2026-09-22</t>
        </is>
      </c>
      <c r="C15" s="10" t="inlineStr">
        <is>
          <t>b616f12</t>
        </is>
      </c>
      <c r="D15" s="10" t="inlineStr">
        <is>
          <t>case-drone.html</t>
        </is>
      </c>
      <c r="E15" s="10" t="inlineStr">
        <is>
          <t>Customer genuinely anonymised</t>
        </is>
      </c>
      <c r="F15" s="10" t="inlineStr">
        <is>
          <t>Bengaluru-based, founded 1997, AS9100D + CEMILAC, partner to India's leading defense and space agencies</t>
        </is>
      </c>
      <c r="G15" s="10" t="inlineStr">
        <is>
          <t>An established Indian aerospace &amp; defense systems-engineering company</t>
        </is>
      </c>
      <c r="H15" s="10" t="inlineStr">
        <is>
          <t>Identifying in practice: all the exposure of naming, none of the credibility</t>
        </is>
      </c>
      <c r="I15" s="10" t="inlineStr">
        <is>
          <t>Plan: fix table</t>
        </is>
      </c>
      <c r="J15" s="10" t="inlineStr">
        <is>
          <t>CEO</t>
        </is>
      </c>
      <c r="K15" s="11" t="inlineStr">
        <is>
          <t>Pending</t>
        </is>
      </c>
      <c r="L15" s="11" t="inlineStr">
        <is>
          <t>No</t>
        </is>
      </c>
    </row>
    <row r="16">
      <c r="A16" s="10" t="n">
        <v>12</v>
      </c>
      <c r="B16" s="10" t="inlineStr">
        <is>
          <t>2026-09-22</t>
        </is>
      </c>
      <c r="C16" s="10" t="inlineStr">
        <is>
          <t>b616f12</t>
        </is>
      </c>
      <c r="D16" s="10" t="inlineStr">
        <is>
          <t>netlify.toml</t>
        </is>
      </c>
      <c r="E16" s="10" t="inlineStr">
        <is>
          <t>/_s4/* blocked from the public site</t>
        </is>
      </c>
      <c r="F16" s="10" t="inlineStr">
        <is>
          <t>(n/a)</t>
        </is>
      </c>
      <c r="G16" s="10" t="inlineStr">
        <is>
          <t>404 redirect</t>
        </is>
      </c>
      <c r="H16" s="10" t="inlineStr">
        <is>
          <t>Keep drafts and the audit off the public site</t>
        </is>
      </c>
      <c r="I16" s="10" t="inlineStr">
        <is>
          <t>Housekeeping</t>
        </is>
      </c>
      <c r="J16" s="10" t="inlineStr">
        <is>
          <t>Marketing</t>
        </is>
      </c>
      <c r="K16" s="11" t="inlineStr">
        <is>
          <t>Pending</t>
        </is>
      </c>
      <c r="L16" s="11" t="inlineStr">
        <is>
          <t>No</t>
        </is>
      </c>
    </row>
    <row r="17">
      <c r="A17" s="10" t="n">
        <v>13</v>
      </c>
      <c r="B17" s="10" t="inlineStr">
        <is>
          <t>2026-09-22</t>
        </is>
      </c>
      <c r="C17" s="10" t="inlineStr">
        <is>
          <t>b7c8989</t>
        </is>
      </c>
      <c r="D17" s="10" t="inlineStr">
        <is>
          <t>_s4/</t>
        </is>
      </c>
      <c r="E17" s="10" t="inlineStr">
        <is>
          <t>Evidence audit built as a workbook</t>
        </is>
      </c>
      <c r="F17" s="10" t="inlineStr">
        <is>
          <t>(none)</t>
        </is>
      </c>
      <c r="G17" s="10" t="inlineStr">
        <is>
          <t>39 claims, risk-rated, with owner and sign-off columns</t>
        </is>
      </c>
      <c r="H17" s="10" t="inlineStr">
        <is>
          <t>Plan: every claim must trace to a document</t>
        </is>
      </c>
      <c r="I17" s="10" t="inlineStr">
        <is>
          <t>Plan: ground rules</t>
        </is>
      </c>
      <c r="J17" s="10" t="inlineStr">
        <is>
          <t>Marketing + CFO</t>
        </is>
      </c>
      <c r="K17" s="11" t="inlineStr">
        <is>
          <t>Pending</t>
        </is>
      </c>
      <c r="L17" s="11" t="inlineStr">
        <is>
          <t>No</t>
        </is>
      </c>
    </row>
    <row r="18">
      <c r="A18" s="10" t="n">
        <v>14</v>
      </c>
      <c r="B18" s="10" t="inlineStr">
        <is>
          <t>2026-09-22</t>
        </is>
      </c>
      <c r="C18" s="10" t="inlineStr">
        <is>
          <t>8d62b9a</t>
        </is>
      </c>
      <c r="D18" s="10" t="inlineStr">
        <is>
          <t>blog.html + new files</t>
        </is>
      </c>
      <c r="E18" s="10" t="inlineStr">
        <is>
          <t>Blog structure rebuilt</t>
        </is>
      </c>
      <c r="F18" s="10" t="inlineStr">
        <is>
          <t>Single post list, no categories or dates in markup</t>
        </is>
      </c>
      <c r="G18" s="10" t="inlineStr">
        <is>
          <t>Categories, dated posts, archive, post template with sources and update history</t>
        </is>
      </c>
      <c r="H18" s="10" t="inlineStr">
        <is>
          <t>Blog must hold posts that are traceable and dated; no silent edits</t>
        </is>
      </c>
      <c r="I18" s="10" t="inlineStr">
        <is>
          <t>Plan: ground rules</t>
        </is>
      </c>
      <c r="J18" s="10" t="inlineStr">
        <is>
          <t>Marketing</t>
        </is>
      </c>
      <c r="K18" s="11" t="inlineStr">
        <is>
          <t>Pending</t>
        </is>
      </c>
      <c r="L18" s="11" t="inlineStr">
        <is>
          <t>No</t>
        </is>
      </c>
    </row>
    <row r="19">
      <c r="A19" s="10" t="n">
        <v>15</v>
      </c>
      <c r="B19" s="10" t="inlineStr">
        <is>
          <t>2026-09-23</t>
        </is>
      </c>
      <c r="C19" s="10" t="inlineStr">
        <is>
          <t>06f91d6</t>
        </is>
      </c>
      <c r="D19" s="10" t="inlineStr">
        <is>
          <t>_investors-draft.html</t>
        </is>
      </c>
      <c r="E19" s="10" t="inlineStr">
        <is>
          <t>Investors page built unpublished</t>
        </is>
      </c>
      <c r="F19" s="10" t="inlineStr">
        <is>
          <t>(none)</t>
        </is>
      </c>
      <c r="G19" s="10" t="inlineStr">
        <is>
          <t>Announcement block, filings index, webcast, FAQ, IR contact, legends</t>
        </is>
      </c>
      <c r="H19" s="10" t="inlineStr">
        <is>
          <t>Plan Stage 2: announcement day is a switch-on, not a build</t>
        </is>
      </c>
      <c r="I19" s="10" t="inlineStr">
        <is>
          <t>Plan: Stage 2</t>
        </is>
      </c>
      <c r="J19" s="10" t="inlineStr">
        <is>
          <t>Marketing + counsel</t>
        </is>
      </c>
      <c r="K19" s="11" t="inlineStr">
        <is>
          <t>Pending</t>
        </is>
      </c>
      <c r="L19" s="11" t="inlineStr">
        <is>
          <t>No</t>
        </is>
      </c>
    </row>
    <row r="20">
      <c r="A20" s="10" t="n">
        <v>16</v>
      </c>
      <c r="B20" s="10" t="inlineStr">
        <is>
          <t>2026-09-23</t>
        </is>
      </c>
      <c r="C20" s="10" t="inlineStr">
        <is>
          <t>06f91d6</t>
        </is>
      </c>
      <c r="D20" s="10" t="inlineStr">
        <is>
          <t>_s4/ANNOUNCEMENT_DAY.md</t>
        </is>
      </c>
      <c r="E20" s="10" t="inlineStr">
        <is>
          <t>Switch-on runbook written</t>
        </is>
      </c>
      <c r="F20" s="10" t="inlineStr">
        <is>
          <t>(none)</t>
        </is>
      </c>
      <c r="G20" s="10" t="inlineStr">
        <is>
          <t>Pre-day checklist, order of operations, what stays off, week after</t>
        </is>
      </c>
      <c r="H20" s="10" t="inlineStr">
        <is>
          <t>Plan: Stage 2</t>
        </is>
      </c>
      <c r="I20" s="10" t="inlineStr">
        <is>
          <t>Plan: Stage 2</t>
        </is>
      </c>
      <c r="J20" s="10" t="inlineStr">
        <is>
          <t>Marketing</t>
        </is>
      </c>
      <c r="K20" s="11" t="inlineStr">
        <is>
          <t>Pending</t>
        </is>
      </c>
      <c r="L20" s="11" t="inlineStr">
        <is>
          <t>No</t>
        </is>
      </c>
    </row>
    <row r="21">
      <c r="A21" s="10" t="n">
        <v>17</v>
      </c>
      <c r="B21" s="10" t="inlineStr">
        <is>
          <t>2026-09-23</t>
        </is>
      </c>
      <c r="C21" s="10" t="inlineStr">
        <is>
          <t>15a001a</t>
        </is>
      </c>
      <c r="D21" s="10" t="inlineStr">
        <is>
          <t>offerings.html</t>
        </is>
      </c>
      <c r="E21" s="10" t="inlineStr">
        <is>
          <t>Nine categories labelled by phase</t>
        </is>
      </c>
      <c r="F21" s="10" t="inlineStr">
        <is>
          <t>All nine shown as equal</t>
        </is>
      </c>
      <c r="G21" s="10" t="inlineStr">
        <is>
          <t>3 Near-term focus, 6 Available, with a key</t>
        </is>
      </c>
      <c r="H21" s="10" t="inlineStr">
        <is>
          <t>Deck splits Phase 1 / Phase 2 services</t>
        </is>
      </c>
      <c r="I21" s="10" t="inlineStr">
        <is>
          <t>Deck slide 4</t>
        </is>
      </c>
      <c r="J21" s="10" t="inlineStr">
        <is>
          <t>COO</t>
        </is>
      </c>
      <c r="K21" s="11" t="inlineStr">
        <is>
          <t>Pending</t>
        </is>
      </c>
      <c r="L21" s="11" t="inlineStr">
        <is>
          <t>No</t>
        </is>
      </c>
    </row>
    <row r="22">
      <c r="A22" s="10" t="n">
        <v>18</v>
      </c>
      <c r="B22" s="10" t="inlineStr">
        <is>
          <t>2026-09-23</t>
        </is>
      </c>
      <c r="C22" s="10" t="inlineStr">
        <is>
          <t>15a001a</t>
        </is>
      </c>
      <c r="D22" s="10" t="inlineStr">
        <is>
          <t>case-drone, case-studies</t>
        </is>
      </c>
      <c r="E22" s="10" t="inlineStr">
        <is>
          <t>Unsourced benchmark removed</t>
        </is>
      </c>
      <c r="F22" s="10" t="inlineStr">
        <is>
          <t>$500k benchmark, $100k 5x lower cost</t>
        </is>
      </c>
      <c r="G22" s="10" t="inlineStr">
        <is>
          <t>$100k development cost; 16-month benchmark kept</t>
        </is>
      </c>
      <c r="H22" s="10" t="inlineStr">
        <is>
          <t>$500k and 5x are not in the deck and have no source yet</t>
        </is>
      </c>
      <c r="I22" s="10" t="inlineStr">
        <is>
          <t>Deck slide 7</t>
        </is>
      </c>
      <c r="J22" s="10" t="inlineStr">
        <is>
          <t>CFO</t>
        </is>
      </c>
      <c r="K22" s="11" t="inlineStr">
        <is>
          <t>Pending</t>
        </is>
      </c>
      <c r="L22" s="11" t="inlineStr">
        <is>
          <t>No</t>
        </is>
      </c>
    </row>
    <row r="23">
      <c r="A23" s="10" t="n">
        <v>19</v>
      </c>
      <c r="B23" s="10" t="inlineStr">
        <is>
          <t>2026-09-23</t>
        </is>
      </c>
      <c r="C23" s="10" t="inlineStr">
        <is>
          <t>15a001a</t>
        </is>
      </c>
      <c r="D23" s="10" t="inlineStr">
        <is>
          <t>home.html</t>
        </is>
      </c>
      <c r="E23" s="10" t="inlineStr">
        <is>
          <t>Data claim matched to the deck</t>
        </is>
      </c>
      <c r="F23" s="10" t="inlineStr">
        <is>
          <t>Hardware has no internet to scrape</t>
        </is>
      </c>
      <c r="G23" s="10" t="inlineStr">
        <is>
          <t>Hardware has no large public datasets to scrape</t>
        </is>
      </c>
      <c r="H23" s="10" t="inlineStr">
        <is>
          <t>Deck wording, and literally true</t>
        </is>
      </c>
      <c r="I23" s="10" t="inlineStr">
        <is>
          <t>Deck slide 2</t>
        </is>
      </c>
      <c r="J23" s="10" t="inlineStr">
        <is>
          <t>CTO</t>
        </is>
      </c>
      <c r="K23" s="11" t="inlineStr">
        <is>
          <t>Pending</t>
        </is>
      </c>
      <c r="L23" s="11" t="inlineStr">
        <is>
          <t>No</t>
        </is>
      </c>
    </row>
    <row r="24">
      <c r="A24" s="10" t="n">
        <v>20</v>
      </c>
      <c r="B24" s="10" t="inlineStr">
        <is>
          <t>2026-09-23</t>
        </is>
      </c>
      <c r="C24" s="10" t="inlineStr">
        <is>
          <t>15a001a</t>
        </is>
      </c>
      <c r="D24" s="10" t="inlineStr">
        <is>
          <t>about, master-plan, lmm-stack</t>
        </is>
      </c>
      <c r="E24" s="10" t="inlineStr">
        <is>
          <t>Footprint qualified</t>
        </is>
      </c>
      <c r="F24" s="10" t="inlineStr">
        <is>
          <t>over 300,000 sq ft</t>
        </is>
      </c>
      <c r="G24" s="10" t="inlineStr">
        <is>
          <t>over 300,000 sq ft in India</t>
        </is>
      </c>
      <c r="H24" s="10" t="inlineStr">
        <is>
          <t>Deck footnote: present footprint of factories in India</t>
        </is>
      </c>
      <c r="I24" s="10" t="inlineStr">
        <is>
          <t>Deck slide 5</t>
        </is>
      </c>
      <c r="J24" s="10" t="inlineStr">
        <is>
          <t>CFO</t>
        </is>
      </c>
      <c r="K24" s="11" t="inlineStr">
        <is>
          <t>Pending</t>
        </is>
      </c>
      <c r="L24" s="11" t="inlineStr">
        <is>
          <t>No</t>
        </is>
      </c>
    </row>
    <row r="25">
      <c r="A25" s="10" t="n">
        <v>21</v>
      </c>
      <c r="B25" s="10" t="inlineStr">
        <is>
          <t>2026-09-23</t>
        </is>
      </c>
      <c r="C25" s="10" t="inlineStr">
        <is>
          <t>15a001a</t>
        </is>
      </c>
      <c r="D25" s="10" t="inlineStr">
        <is>
          <t>about.html</t>
        </is>
      </c>
      <c r="E25" s="10" t="inlineStr">
        <is>
          <t>India finance role retitled</t>
        </is>
      </c>
      <c r="F25" s="10" t="inlineStr">
        <is>
          <t>Chief Financial Officer · India</t>
        </is>
      </c>
      <c r="G25" s="10" t="inlineStr">
        <is>
          <t>Finance Head · India</t>
        </is>
      </c>
      <c r="H25" s="10" t="inlineStr">
        <is>
          <t>Only one CFO can appear in the S-4 officer list</t>
        </is>
      </c>
      <c r="I25" s="10" t="inlineStr">
        <is>
          <t>Deck slide 11</t>
        </is>
      </c>
      <c r="J25" s="10" t="inlineStr">
        <is>
          <t>Counsel</t>
        </is>
      </c>
      <c r="K25" s="11" t="inlineStr">
        <is>
          <t>Pending</t>
        </is>
      </c>
      <c r="L25" s="11" t="inlineStr">
        <is>
          <t>No</t>
        </is>
      </c>
    </row>
    <row r="26">
      <c r="A26" s="10" t="n">
        <v>22</v>
      </c>
      <c r="B26" s="10" t="inlineStr">
        <is>
          <t>2026-09-23</t>
        </is>
      </c>
      <c r="C26" s="10" t="inlineStr">
        <is>
          <t>(uncommitted)</t>
        </is>
      </c>
      <c r="D26" s="10" t="inlineStr">
        <is>
          <t>about.html</t>
        </is>
      </c>
      <c r="E26" s="10" t="inlineStr">
        <is>
          <t>Kevin Flick added as Chief Financial Officer</t>
        </is>
      </c>
      <c r="F26" s="10" t="inlineStr">
        <is>
          <t>(no CFO card for him; Gokul Madhavan listed as CFO)</t>
        </is>
      </c>
      <c r="G26" s="10" t="inlineStr">
        <is>
          <t>Kevin Flick, Chief Financial Officer. Bio: Two decades in senior finance roles across energy and industrial businesses, including a decade at Canacol Energy and transaction advisory at EY.</t>
        </is>
      </c>
      <c r="H26" s="10" t="inlineStr">
        <is>
          <t>New CFO appointed Sep 2026. Two employers named, taken from his own LinkedIn profile, read 23 Sep 2026. Confirm both against his CV or appointment letter before this goes live, and match the S-4 bio. Copy approved internally 23 Sep 2026. Still to do before it goes live: confirm Canacol Energy and EY against his CV or appointment letter, get his written sign-off, and match the S-4 bio</t>
        </is>
      </c>
      <c r="I26" s="10" t="inlineStr">
        <is>
          <t>User instruction</t>
        </is>
      </c>
      <c r="J26" s="10" t="inlineStr">
        <is>
          <t>CEO + counsel</t>
        </is>
      </c>
      <c r="K26" s="11" t="inlineStr">
        <is>
          <t>Pending</t>
        </is>
      </c>
      <c r="L26" s="11" t="inlineStr">
        <is>
          <t>No</t>
        </is>
      </c>
    </row>
    <row r="27">
      <c r="A27" s="10" t="n">
        <v>23</v>
      </c>
      <c r="B27" s="10" t="inlineStr">
        <is>
          <t>2026-09-23</t>
        </is>
      </c>
      <c r="C27" s="10" t="inlineStr">
        <is>
          <t>(uncommitted)</t>
        </is>
      </c>
      <c r="D27" s="10" t="inlineStr">
        <is>
          <t>about.html</t>
        </is>
      </c>
      <c r="E27" s="10" t="inlineStr">
        <is>
          <t>Gokul Madhavan retitled</t>
        </is>
      </c>
      <c r="F27" s="10" t="inlineStr">
        <is>
          <t>Chief Financial Officer</t>
        </is>
      </c>
      <c r="G27" s="10" t="inlineStr">
        <is>
          <t>Chief Strategy Officer</t>
        </is>
      </c>
      <c r="H27" s="10" t="inlineStr">
        <is>
          <t>Role change following the CFO appointment. The Aug 2026 deck still shows him as CFO and needs the same fix</t>
        </is>
      </c>
      <c r="I27" s="10" t="inlineStr">
        <is>
          <t>User instruction</t>
        </is>
      </c>
      <c r="J27" s="10" t="inlineStr">
        <is>
          <t>CEO</t>
        </is>
      </c>
      <c r="K27" s="11" t="inlineStr">
        <is>
          <t>Pending</t>
        </is>
      </c>
      <c r="L27" s="11" t="inlineStr">
        <is>
          <t>No</t>
        </is>
      </c>
    </row>
    <row r="28">
      <c r="A28" s="10" t="n">
        <v>24</v>
      </c>
      <c r="B28" s="10" t="inlineStr">
        <is>
          <t>2026-09-23</t>
        </is>
      </c>
      <c r="C28" s="10" t="inlineStr">
        <is>
          <t>(uncommitted)</t>
        </is>
      </c>
      <c r="D28" s="10" t="inlineStr">
        <is>
          <t>about.html, style.css</t>
        </is>
      </c>
      <c r="E28" s="10" t="inlineStr">
        <is>
          <t>Leadership row widened to five</t>
        </is>
      </c>
      <c r="F28" s="10" t="inlineStr">
        <is>
          <t>4-column grid, 5th card orphaned on its own row</t>
        </is>
      </c>
      <c r="G28" s="10" t="inlineStr">
        <is>
          <t>5-column row on desktop, 3-up mid, 1-up on mobile</t>
        </is>
      </c>
      <c r="H28" s="10" t="inlineStr">
        <is>
          <t>Layout consequence of the new CFO card</t>
        </is>
      </c>
      <c r="I28" s="10" t="inlineStr">
        <is>
          <t>Housekeeping</t>
        </is>
      </c>
      <c r="J28" s="10" t="inlineStr">
        <is>
          <t>Marketing</t>
        </is>
      </c>
      <c r="K28" s="11" t="inlineStr">
        <is>
          <t>Pending</t>
        </is>
      </c>
      <c r="L28" s="11" t="inlineStr">
        <is>
          <t>No</t>
        </is>
      </c>
    </row>
  </sheetData>
  <autoFilter ref="A4:L28"/>
  <conditionalFormatting sqref="K5:K25">
    <cfRule type="expression" priority="1" dxfId="0">
      <formula>LEFT($K5,7)="Cleared"</formula>
    </cfRule>
    <cfRule type="expression" priority="2" dxfId="1">
      <formula>$K5="Pending"</formula>
    </cfRule>
  </conditionalFormatting>
  <dataValidations count="3">
    <dataValidation sqref="K5:K25" showDropDown="0" showInputMessage="0" showErrorMessage="0" allowBlank="1" type="list">
      <formula1>"Pending,Cleared,Cleared with edits,Reverted"</formula1>
    </dataValidation>
    <dataValidation sqref="L5:L25" showDropDown="0" showInputMessage="0" showErrorMessage="0" allowBlank="1" type="list">
      <formula1>"No,Yes"</formula1>
    </dataValidation>
    <dataValidation sqref="K26:K28" showDropDown="0" showInputMessage="0" showErrorMessage="0" allowBlank="1" type="list">
      <formula1>"Pending,Cleared,Cleared with edits,Reverted"</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5"/>
  <sheetViews>
    <sheetView workbookViewId="0">
      <pane xSplit="2" ySplit="4" topLeftCell="C5" activePane="bottomRight" state="frozen"/>
      <selection pane="topRight" activeCell="A1" sqref="A1"/>
      <selection pane="bottomLeft" activeCell="A1" sqref="A1"/>
      <selection pane="bottomRight" activeCell="A1" sqref="A1"/>
    </sheetView>
  </sheetViews>
  <sheetFormatPr baseColWidth="8" defaultRowHeight="15"/>
  <cols>
    <col width="5" customWidth="1" min="1" max="1"/>
    <col width="16" customWidth="1" min="2" max="2"/>
    <col width="52" customWidth="1" min="3" max="3"/>
    <col width="15" customWidth="1" min="4" max="4"/>
    <col width="46" customWidth="1" min="5" max="5"/>
    <col width="18" customWidth="1" min="6" max="6"/>
    <col width="20" customWidth="1" min="7" max="7"/>
  </cols>
  <sheetData>
    <row r="1">
      <c r="A1" s="1" t="inlineStr">
        <is>
          <t>Website plan for the transaction, 18 Sep 2026: item by item</t>
        </is>
      </c>
    </row>
    <row r="2">
      <c r="A2" s="2" t="inlineStr">
        <is>
          <t>Every instruction in the plan document, and where it stands on the BCA-Ready branch.</t>
        </is>
      </c>
    </row>
    <row r="4" ht="30" customHeight="1">
      <c r="A4" s="3" t="inlineStr">
        <is>
          <t>#</t>
        </is>
      </c>
      <c r="B4" s="3" t="inlineStr">
        <is>
          <t>Stage</t>
        </is>
      </c>
      <c r="C4" s="3" t="inlineStr">
        <is>
          <t>Plan says</t>
        </is>
      </c>
      <c r="D4" s="3" t="inlineStr">
        <is>
          <t>Status</t>
        </is>
      </c>
      <c r="E4" s="3" t="inlineStr">
        <is>
          <t>Where it stands</t>
        </is>
      </c>
      <c r="F4" s="3" t="inlineStr">
        <is>
          <t>Owner</t>
        </is>
      </c>
      <c r="G4" s="3" t="inlineStr">
        <is>
          <t>Due</t>
        </is>
      </c>
    </row>
    <row r="5">
      <c r="A5" s="10" t="n">
        <v>1</v>
      </c>
      <c r="B5" s="10" t="inlineStr">
        <is>
          <t>Stage 1</t>
        </is>
      </c>
      <c r="C5" s="10" t="inlineStr">
        <is>
          <t>About: 'Built NEMI greenfield to 300k sq ft' is wrong</t>
        </is>
      </c>
      <c r="D5" s="12" t="inlineStr">
        <is>
          <t>Done on branch</t>
        </is>
      </c>
      <c r="E5" s="10" t="inlineStr">
        <is>
          <t>Rewritten as acquired and expanded</t>
        </is>
      </c>
      <c r="F5" s="10" t="inlineStr">
        <is>
          <t>Marketing + CFO</t>
        </is>
      </c>
      <c r="G5" s="10" t="inlineStr">
        <is>
          <t>Before BCA signing</t>
        </is>
      </c>
    </row>
    <row r="6">
      <c r="A6" s="10" t="n">
        <v>2</v>
      </c>
      <c r="B6" s="10" t="inlineStr">
        <is>
          <t>Stage 1</t>
        </is>
      </c>
      <c r="C6" s="10" t="inlineStr">
        <is>
          <t>'Profitably, today' must state the exact measure or go</t>
        </is>
      </c>
      <c r="D6" s="12" t="inlineStr">
        <is>
          <t>Done on branch</t>
        </is>
      </c>
      <c r="E6" s="10" t="inlineStr">
        <is>
          <t>Removed everywhere; reinstate only with a segment measure</t>
        </is>
      </c>
      <c r="F6" s="10" t="inlineStr">
        <is>
          <t>CFO</t>
        </is>
      </c>
      <c r="G6" s="10" t="inlineStr">
        <is>
          <t>Before BCA signing</t>
        </is>
      </c>
    </row>
    <row r="7">
      <c r="A7" s="10" t="n">
        <v>3</v>
      </c>
      <c r="B7" s="10" t="inlineStr">
        <is>
          <t>Stage 1</t>
        </is>
      </c>
      <c r="C7" s="10" t="inlineStr">
        <is>
          <t>Master Plan absolutes and predictions to be softened, FLS note added</t>
        </is>
      </c>
      <c r="D7" s="12" t="inlineStr">
        <is>
          <t>Done on branch</t>
        </is>
      </c>
      <c r="E7" s="10" t="inlineStr">
        <is>
          <t>Softened; FLS note added with placeholder wording</t>
        </is>
      </c>
      <c r="F7" s="10" t="inlineStr">
        <is>
          <t>Counsel</t>
        </is>
      </c>
      <c r="G7" s="10" t="inlineStr">
        <is>
          <t>Before BCA signing</t>
        </is>
      </c>
    </row>
    <row r="8">
      <c r="A8" s="10" t="n">
        <v>4</v>
      </c>
      <c r="B8" s="10" t="inlineStr">
        <is>
          <t>Stage 1</t>
        </is>
      </c>
      <c r="C8" s="10" t="inlineStr">
        <is>
          <t>Offerings: label each category live / pilot / roadmap</t>
        </is>
      </c>
      <c r="D8" s="12" t="inlineStr">
        <is>
          <t>Done on branch</t>
        </is>
      </c>
      <c r="E8" s="10" t="inlineStr">
        <is>
          <t>Labelled per the deck: 3 Near-term focus, 6 Available</t>
        </is>
      </c>
      <c r="F8" s="10" t="inlineStr">
        <is>
          <t>COO</t>
        </is>
      </c>
      <c r="G8" s="10" t="inlineStr">
        <is>
          <t>Before BCA signing</t>
        </is>
      </c>
    </row>
    <row r="9">
      <c r="A9" s="10" t="n">
        <v>5</v>
      </c>
      <c r="B9" s="10" t="inlineStr">
        <is>
          <t>Stage 1</t>
        </is>
      </c>
      <c r="C9" s="10" t="inlineStr">
        <is>
          <t>Defense UAS case: name them with permission, or genuinely anonymise</t>
        </is>
      </c>
      <c r="D9" s="13" t="inlineStr">
        <is>
          <t>Partly done</t>
        </is>
      </c>
      <c r="E9" s="10" t="inlineStr">
        <is>
          <t>Site anonymised. The deck still identifies them via a DRDO quote</t>
        </is>
      </c>
      <c r="F9" s="10" t="inlineStr">
        <is>
          <t>CEO</t>
        </is>
      </c>
      <c r="G9" s="10" t="inlineStr">
        <is>
          <t>Before BCA signing</t>
        </is>
      </c>
    </row>
    <row r="10">
      <c r="A10" s="10" t="n">
        <v>6</v>
      </c>
      <c r="B10" s="10" t="inlineStr">
        <is>
          <t>Stage 1</t>
        </is>
      </c>
      <c r="C10" s="10" t="inlineStr">
        <is>
          <t>BNC Messenger: label clearly as an internal program</t>
        </is>
      </c>
      <c r="D10" s="12" t="inlineStr">
        <is>
          <t>Done on branch</t>
        </is>
      </c>
      <c r="E10" s="10" t="inlineStr">
        <is>
          <t>Labelled on the index and the case page</t>
        </is>
      </c>
      <c r="F10" s="10" t="inlineStr">
        <is>
          <t>CFO</t>
        </is>
      </c>
      <c r="G10" s="10" t="inlineStr">
        <is>
          <t>Before BCA signing</t>
        </is>
      </c>
    </row>
    <row r="11">
      <c r="A11" s="10" t="n">
        <v>7</v>
      </c>
      <c r="B11" s="10" t="inlineStr">
        <is>
          <t>Stage 1</t>
        </is>
      </c>
      <c r="C11" s="10" t="inlineStr">
        <is>
          <t>Invest page vs blank invest.nemilmm.com: gated portal or remove the link</t>
        </is>
      </c>
      <c r="D11" s="14" t="inlineStr">
        <is>
          <t>Decision due</t>
        </is>
      </c>
      <c r="E11" s="10" t="inlineStr">
        <is>
          <t>No decision yet. The deck's SAFE deadline is 30 Sep 2026</t>
        </is>
      </c>
      <c r="F11" s="10" t="inlineStr">
        <is>
          <t>CEO + counsel</t>
        </is>
      </c>
      <c r="G11" s="10" t="inlineStr">
        <is>
          <t>This week</t>
        </is>
      </c>
    </row>
    <row r="12">
      <c r="A12" s="10" t="n">
        <v>8</v>
      </c>
      <c r="B12" s="10" t="inlineStr">
        <is>
          <t>Stage 1</t>
        </is>
      </c>
      <c r="C12" s="10" t="inlineStr">
        <is>
          <t>Footer entity name must match the S-4</t>
        </is>
      </c>
      <c r="D12" s="14" t="inlineStr">
        <is>
          <t>Blocked</t>
        </is>
      </c>
      <c r="E12" s="10" t="inlineStr">
        <is>
          <t>Still '2026 NEMI LMM'. Needs the US HoldCo legal name</t>
        </is>
      </c>
      <c r="F12" s="10" t="inlineStr">
        <is>
          <t>Counsel</t>
        </is>
      </c>
      <c r="G12" s="10" t="inlineStr">
        <is>
          <t>At S-4 draft</t>
        </is>
      </c>
    </row>
    <row r="13">
      <c r="A13" s="10" t="n">
        <v>9</v>
      </c>
      <c r="B13" s="10" t="inlineStr">
        <is>
          <t>Stage 1</t>
        </is>
      </c>
      <c r="C13" s="10" t="inlineStr">
        <is>
          <t>Prepare an Investors page, unpublished</t>
        </is>
      </c>
      <c r="D13" s="12" t="inlineStr">
        <is>
          <t>Done on branch</t>
        </is>
      </c>
      <c r="E13" s="10" t="inlineStr">
        <is>
          <t>_investors-draft.html, blocked from the public site</t>
        </is>
      </c>
      <c r="F13" s="10" t="inlineStr">
        <is>
          <t>Marketing</t>
        </is>
      </c>
      <c r="G13" s="10" t="inlineStr">
        <is>
          <t>Before BCA signing</t>
        </is>
      </c>
    </row>
    <row r="14">
      <c r="A14" s="10" t="n">
        <v>10</v>
      </c>
      <c r="B14" s="10" t="inlineStr">
        <is>
          <t>Stage 1</t>
        </is>
      </c>
      <c r="C14" s="10" t="inlineStr">
        <is>
          <t>Prepare a single Legends page, unpublished</t>
        </is>
      </c>
      <c r="D14" s="12" t="inlineStr">
        <is>
          <t>Done on branch</t>
        </is>
      </c>
      <c r="E14" s="10" t="inlineStr">
        <is>
          <t>_s4/legends-draft.html, counsel owns the wording</t>
        </is>
      </c>
      <c r="F14" s="10" t="inlineStr">
        <is>
          <t>Counsel</t>
        </is>
      </c>
      <c r="G14" s="10" t="inlineStr">
        <is>
          <t>Before BCA signing</t>
        </is>
      </c>
    </row>
    <row r="15">
      <c r="A15" s="10" t="n">
        <v>11</v>
      </c>
      <c r="B15" s="10" t="inlineStr">
        <is>
          <t>Stage 1</t>
        </is>
      </c>
      <c r="C15" s="10" t="inlineStr">
        <is>
          <t>Bios and entity description matching the S-4 word for word</t>
        </is>
      </c>
      <c r="D15" s="14" t="inlineStr">
        <is>
          <t>Blocked</t>
        </is>
      </c>
      <c r="E15" s="10" t="inlineStr">
        <is>
          <t>Needs the S-4 draft. Four board and bio mismatches already known</t>
        </is>
      </c>
      <c r="F15" s="10" t="inlineStr">
        <is>
          <t>Counsel + CEO</t>
        </is>
      </c>
      <c r="G15" s="10" t="inlineStr">
        <is>
          <t>At S-4 draft</t>
        </is>
      </c>
    </row>
    <row r="16">
      <c r="A16" s="10" t="n">
        <v>12</v>
      </c>
      <c r="B16" s="10" t="inlineStr">
        <is>
          <t>Ground rules</t>
        </is>
      </c>
      <c r="C16" s="10" t="inlineStr">
        <is>
          <t>Every claim traces to a document</t>
        </is>
      </c>
      <c r="D16" s="13" t="inlineStr">
        <is>
          <t>Open</t>
        </is>
      </c>
      <c r="E16" s="10" t="inlineStr">
        <is>
          <t>39 claims logged; source column still empty</t>
        </is>
      </c>
      <c r="F16" s="10" t="inlineStr">
        <is>
          <t>Marketing + CFO</t>
        </is>
      </c>
      <c r="G16" s="10" t="inlineStr">
        <is>
          <t>Next 2 weeks</t>
        </is>
      </c>
    </row>
    <row r="17">
      <c r="A17" s="10" t="n">
        <v>13</v>
      </c>
      <c r="B17" s="10" t="inlineStr">
        <is>
          <t>Ground rules</t>
        </is>
      </c>
      <c r="C17" s="10" t="inlineStr">
        <is>
          <t>No numbers on the site that are not in a filed document</t>
        </is>
      </c>
      <c r="D17" s="13" t="inlineStr">
        <is>
          <t>Partly done</t>
        </is>
      </c>
      <c r="E17" s="10" t="inlineStr">
        <is>
          <t>Unsourced benchmarks removed; EV and coffee figures still up</t>
        </is>
      </c>
      <c r="F17" s="10" t="inlineStr">
        <is>
          <t>CFO</t>
        </is>
      </c>
      <c r="G17" s="10" t="inlineStr">
        <is>
          <t>Next 2 weeks</t>
        </is>
      </c>
    </row>
    <row r="18">
      <c r="A18" s="10" t="n">
        <v>14</v>
      </c>
      <c r="B18" s="10" t="inlineStr">
        <is>
          <t>Ground rules</t>
        </is>
      </c>
      <c r="C18" s="10" t="inlineStr">
        <is>
          <t>Counsel pre-clears all site changes, dated change log kept</t>
        </is>
      </c>
      <c r="D18" s="13" t="inlineStr">
        <is>
          <t>Open</t>
        </is>
      </c>
      <c r="E18" s="10" t="inlineStr">
        <is>
          <t>This workbook is the log. No change has been cleared yet</t>
        </is>
      </c>
      <c r="F18" s="10" t="inlineStr">
        <is>
          <t>Marketing</t>
        </is>
      </c>
      <c r="G18" s="10" t="inlineStr">
        <is>
          <t>Immediately</t>
        </is>
      </c>
    </row>
    <row r="19">
      <c r="A19" s="10" t="n">
        <v>15</v>
      </c>
      <c r="B19" s="10" t="inlineStr">
        <is>
          <t>Ground rules</t>
        </is>
      </c>
      <c r="C19" s="10" t="inlineStr">
        <is>
          <t>Employee / advisor social media rule circulated</t>
        </is>
      </c>
      <c r="D19" s="14" t="inlineStr">
        <is>
          <t>Not started</t>
        </is>
      </c>
      <c r="E19" s="10" t="inlineStr">
        <is>
          <t>Not written or sent</t>
        </is>
      </c>
      <c r="F19" s="10" t="inlineStr">
        <is>
          <t>Marketing + HR</t>
        </is>
      </c>
      <c r="G19" s="10" t="inlineStr">
        <is>
          <t>Immediately</t>
        </is>
      </c>
    </row>
    <row r="20">
      <c r="A20" s="10" t="n">
        <v>16</v>
      </c>
      <c r="B20" s="10" t="inlineStr">
        <is>
          <t>Ground rules</t>
        </is>
      </c>
      <c r="C20" s="10" t="inlineStr">
        <is>
          <t>Customer-facing pages stay as they are, no rebrand or content push</t>
        </is>
      </c>
      <c r="D20" s="12" t="inlineStr">
        <is>
          <t>Done</t>
        </is>
      </c>
      <c r="E20" s="10" t="inlineStr">
        <is>
          <t>No new campaign. Blog structure only, no new posts</t>
        </is>
      </c>
      <c r="F20" s="10" t="inlineStr">
        <is>
          <t>Marketing</t>
        </is>
      </c>
      <c r="G20" s="10" t="inlineStr">
        <is>
          <t>Ongoing</t>
        </is>
      </c>
    </row>
    <row r="21">
      <c r="A21" s="10" t="n">
        <v>17</v>
      </c>
      <c r="B21" s="10" t="inlineStr">
        <is>
          <t>Ground rules</t>
        </is>
      </c>
      <c r="C21" s="10" t="inlineStr">
        <is>
          <t>Anything mentioning the deal is filed the day it goes out</t>
        </is>
      </c>
      <c r="D21" s="14" t="inlineStr">
        <is>
          <t>Not started</t>
        </is>
      </c>
      <c r="E21" s="10" t="inlineStr">
        <is>
          <t>Applies from announcement. Rule written into the runbook</t>
        </is>
      </c>
      <c r="F21" s="10" t="inlineStr">
        <is>
          <t>Counsel + sponsor IR</t>
        </is>
      </c>
      <c r="G21" s="10" t="inlineStr">
        <is>
          <t>From announcement</t>
        </is>
      </c>
    </row>
    <row r="22">
      <c r="A22" s="10" t="n">
        <v>18</v>
      </c>
      <c r="B22" s="10" t="inlineStr">
        <is>
          <t>Stage 2</t>
        </is>
      </c>
      <c r="C22" s="10" t="inlineStr">
        <is>
          <t>Announcement day switch-on, Form 425 filings, media calendar</t>
        </is>
      </c>
      <c r="D22" s="12" t="inlineStr">
        <is>
          <t>Done on branch</t>
        </is>
      </c>
      <c r="E22" s="10" t="inlineStr">
        <is>
          <t>Runbook written: _s4/ANNOUNCEMENT_DAY.md</t>
        </is>
      </c>
      <c r="F22" s="10" t="inlineStr">
        <is>
          <t>Marketing + counsel</t>
        </is>
      </c>
      <c r="G22" s="10" t="inlineStr">
        <is>
          <t>BCA signing day</t>
        </is>
      </c>
    </row>
    <row r="23">
      <c r="A23" s="10" t="n">
        <v>19</v>
      </c>
      <c r="B23" s="10" t="inlineStr">
        <is>
          <t>Stage 3</t>
        </is>
      </c>
      <c r="C23" s="10" t="inlineStr">
        <is>
          <t>Legend update, S-4 link, equal prominence, archive check</t>
        </is>
      </c>
      <c r="D23" s="13" t="inlineStr">
        <is>
          <t>Partly done</t>
        </is>
      </c>
      <c r="E23" s="10" t="inlineStr">
        <is>
          <t>Legends drafted with both wordings; git archive check clean</t>
        </is>
      </c>
      <c r="F23" s="10" t="inlineStr">
        <is>
          <t>Marketing + counsel</t>
        </is>
      </c>
      <c r="G23" s="10" t="inlineStr">
        <is>
          <t>S-4 filing day</t>
        </is>
      </c>
    </row>
    <row r="24">
      <c r="A24" s="10" t="n">
        <v>20</v>
      </c>
      <c r="B24" s="10" t="inlineStr">
        <is>
          <t>Stage 3</t>
        </is>
      </c>
      <c r="C24" s="10" t="inlineStr">
        <is>
          <t>Vote and redemption page with the proxy solicitor</t>
        </is>
      </c>
      <c r="D24" s="14" t="inlineStr">
        <is>
          <t>Not started</t>
        </is>
      </c>
      <c r="E24" s="10" t="inlineStr">
        <is>
          <t>Section is commented into the Investors page draft</t>
        </is>
      </c>
      <c r="F24" s="10" t="inlineStr">
        <is>
          <t>Sponsor IR + Marketing</t>
        </is>
      </c>
      <c r="G24" s="10" t="inlineStr">
        <is>
          <t>S-4 effectiveness</t>
        </is>
      </c>
    </row>
    <row r="25">
      <c r="A25" s="10" t="n">
        <v>21</v>
      </c>
      <c r="B25" s="10" t="inlineStr">
        <is>
          <t>Closing</t>
        </is>
      </c>
      <c r="C25" s="10" t="inlineStr">
        <is>
          <t>Full IR section: ticker, governance, filings feed, Reg FD</t>
        </is>
      </c>
      <c r="D25" s="14" t="inlineStr">
        <is>
          <t>Not started</t>
        </is>
      </c>
      <c r="E25" s="10" t="inlineStr">
        <is>
          <t>Not started, correctly</t>
        </is>
      </c>
      <c r="F25" s="10" t="inlineStr">
        <is>
          <t>Marketing + CFO</t>
        </is>
      </c>
      <c r="G25" s="10" t="inlineStr">
        <is>
          <t>Closing</t>
        </is>
      </c>
    </row>
  </sheetData>
  <autoFilter ref="A4:G25"/>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23"/>
  <sheetViews>
    <sheetView workbookViewId="0">
      <pane xSplit="2" ySplit="4" topLeftCell="C5" activePane="bottomRight" state="frozen"/>
      <selection pane="topRight" activeCell="A1" sqref="A1"/>
      <selection pane="bottomLeft" activeCell="A1" sqref="A1"/>
      <selection pane="bottomRight" activeCell="A1" sqref="A1"/>
    </sheetView>
  </sheetViews>
  <sheetFormatPr baseColWidth="8" defaultRowHeight="15"/>
  <cols>
    <col width="5" customWidth="1" min="1" max="1"/>
    <col width="20" customWidth="1" min="2" max="2"/>
    <col width="40" customWidth="1" min="3" max="3"/>
    <col width="40" customWidth="1" min="4" max="4"/>
    <col width="44" customWidth="1" min="5" max="5"/>
    <col width="15" customWidth="1" min="6" max="6"/>
    <col width="18" customWidth="1" min="7" max="7"/>
  </cols>
  <sheetData>
    <row r="1">
      <c r="A1" s="1" t="inlineStr">
        <is>
          <t>Investor deck (Aug 2026) read against the website</t>
        </is>
      </c>
    </row>
    <row r="2">
      <c r="A2" s="2" t="inlineStr">
        <is>
          <t>19 differences found. Status is as of the BCA-Ready branch. Where the deck is the one that is wrong, the fix belongs to the deck.</t>
        </is>
      </c>
    </row>
    <row r="4" ht="30" customHeight="1">
      <c r="A4" s="3" t="inlineStr">
        <is>
          <t>#</t>
        </is>
      </c>
      <c r="B4" s="3" t="inlineStr">
        <is>
          <t>Item</t>
        </is>
      </c>
      <c r="C4" s="3" t="inlineStr">
        <is>
          <t>Website said</t>
        </is>
      </c>
      <c r="D4" s="3" t="inlineStr">
        <is>
          <t>Deck says</t>
        </is>
      </c>
      <c r="E4" s="3" t="inlineStr">
        <is>
          <t>Action</t>
        </is>
      </c>
      <c r="F4" s="3" t="inlineStr">
        <is>
          <t>Status</t>
        </is>
      </c>
      <c r="G4" s="3" t="inlineStr">
        <is>
          <t>Who fixes it</t>
        </is>
      </c>
    </row>
    <row r="5">
      <c r="A5" s="10" t="n">
        <v>1</v>
      </c>
      <c r="B5" s="10" t="inlineStr">
        <is>
          <t>EV case cost</t>
        </is>
      </c>
      <c r="C5" s="10" t="inlineStr">
        <is>
          <t>&lt;$1M vs $10M+, ~90% cost</t>
        </is>
      </c>
      <c r="D5" s="10" t="inlineStr">
        <is>
          <t>under $0.5M, 10x cheaper</t>
        </is>
      </c>
      <c r="E5" s="10" t="inlineStr">
        <is>
          <t>Pick one figure from the ledger and use it on site, deck and S-4</t>
        </is>
      </c>
      <c r="F5" s="14" t="inlineStr">
        <is>
          <t>Blocked</t>
        </is>
      </c>
      <c r="G5" s="10" t="inlineStr">
        <is>
          <t>CFO</t>
        </is>
      </c>
    </row>
    <row r="6">
      <c r="A6" s="10" t="n">
        <v>2</v>
      </c>
      <c r="B6" s="10" t="inlineStr">
        <is>
          <t>EV case speed</t>
        </is>
      </c>
      <c r="C6" s="10" t="inlineStr">
        <is>
          <t>18 to 9 months, 50%</t>
        </is>
      </c>
      <c r="D6" s="10" t="inlineStr">
        <is>
          <t>2x faster</t>
        </is>
      </c>
      <c r="E6" s="10" t="inlineStr">
        <is>
          <t>They agree. Use one phrasing everywhere</t>
        </is>
      </c>
      <c r="F6" s="13" t="inlineStr">
        <is>
          <t>Open</t>
        </is>
      </c>
      <c r="G6" s="10" t="inlineStr">
        <is>
          <t>Marketing</t>
        </is>
      </c>
    </row>
    <row r="7">
      <c r="A7" s="10" t="n">
        <v>3</v>
      </c>
      <c r="B7" s="10" t="inlineStr">
        <is>
          <t>Drone case figures</t>
        </is>
      </c>
      <c r="C7" s="10" t="inlineStr">
        <is>
          <t>$500k to $100k, 5x lower</t>
        </is>
      </c>
      <c r="D7" s="10" t="inlineStr">
        <is>
          <t>4x faster, -20% BOM, no $ figure</t>
        </is>
      </c>
      <c r="E7" s="10" t="inlineStr">
        <is>
          <t>Unsourced benchmark removed from the site</t>
        </is>
      </c>
      <c r="F7" s="12" t="inlineStr">
        <is>
          <t>Done on branch</t>
        </is>
      </c>
      <c r="G7" s="10" t="inlineStr">
        <is>
          <t>CFO</t>
        </is>
      </c>
    </row>
    <row r="8">
      <c r="A8" s="10" t="n">
        <v>4</v>
      </c>
      <c r="B8" s="10" t="inlineStr">
        <is>
          <t>Drone customer</t>
        </is>
      </c>
      <c r="C8" s="10" t="inlineStr">
        <is>
          <t>Anonymised on the branch</t>
        </is>
      </c>
      <c r="D8" s="10" t="inlineStr">
        <is>
          <t>Tier-1 Defense OEM plus a DRDO scientist quote</t>
        </is>
      </c>
      <c r="E8" s="10" t="inlineStr">
        <is>
          <t>Deck still identifies them. Get written permission or anonymise the deck</t>
        </is>
      </c>
      <c r="F8" s="14" t="inlineStr">
        <is>
          <t>Blocked</t>
        </is>
      </c>
      <c r="G8" s="10" t="inlineStr">
        <is>
          <t>CEO</t>
        </is>
      </c>
    </row>
    <row r="9">
      <c r="A9" s="10" t="n">
        <v>5</v>
      </c>
      <c r="B9" s="10" t="inlineStr">
        <is>
          <t>Clamp case</t>
        </is>
      </c>
      <c r="C9" s="10" t="inlineStr">
        <is>
          <t>7 to 3 hrs, &lt;1 week</t>
        </is>
      </c>
      <c r="D9" s="10" t="inlineStr">
        <is>
          <t>2x faster, supplied in days</t>
        </is>
      </c>
      <c r="E9" s="10" t="inlineStr">
        <is>
          <t>Align wording. 7 to 3 is 2.3x, so 2x is the safer claim</t>
        </is>
      </c>
      <c r="F9" s="13" t="inlineStr">
        <is>
          <t>Open</t>
        </is>
      </c>
      <c r="G9" s="10" t="inlineStr">
        <is>
          <t>COO</t>
        </is>
      </c>
    </row>
    <row r="10">
      <c r="A10" s="10" t="n">
        <v>6</v>
      </c>
      <c r="B10" s="10" t="inlineStr">
        <is>
          <t>Coffee case</t>
        </is>
      </c>
      <c r="C10" s="10" t="inlineStr">
        <is>
          <t>$200k to $100k, -20% BOM, 400/mo</t>
        </is>
      </c>
      <c r="D10" s="10" t="inlineStr">
        <is>
          <t>Not in the deck, dataroom only</t>
        </is>
      </c>
      <c r="E10" s="10" t="inlineStr">
        <is>
          <t>Pull the numbers or put the case in the filed deck</t>
        </is>
      </c>
      <c r="F10" s="14" t="inlineStr">
        <is>
          <t>Blocked</t>
        </is>
      </c>
      <c r="G10" s="10" t="inlineStr">
        <is>
          <t>CFO</t>
        </is>
      </c>
    </row>
    <row r="11">
      <c r="A11" s="10" t="n">
        <v>7</v>
      </c>
      <c r="B11" s="10" t="inlineStr">
        <is>
          <t>Profitability</t>
        </is>
      </c>
      <c r="C11" s="10" t="inlineStr">
        <is>
          <t>profitably, today</t>
        </is>
      </c>
      <c r="D11" s="10" t="inlineStr">
        <is>
          <t>EBITDA-positive by CY28E</t>
        </is>
      </c>
      <c r="E11" s="10" t="inlineStr">
        <is>
          <t>Removed from the site. Deck confirms the removal was right</t>
        </is>
      </c>
      <c r="F11" s="12" t="inlineStr">
        <is>
          <t>Done on branch</t>
        </is>
      </c>
      <c r="G11" s="10" t="inlineStr">
        <is>
          <t>CFO</t>
        </is>
      </c>
    </row>
    <row r="12">
      <c r="A12" s="10" t="n">
        <v>8</v>
      </c>
      <c r="B12" s="10" t="inlineStr">
        <is>
          <t>Product status</t>
        </is>
      </c>
      <c r="C12" s="10" t="inlineStr">
        <is>
          <t>Anvil, Orion, Atlas all LIVE</t>
        </is>
      </c>
      <c r="D12" s="10" t="inlineStr">
        <is>
          <t>Phase 2 in validation, no live claim</t>
        </is>
      </c>
      <c r="E12" s="10" t="inlineStr">
        <is>
          <t>Badges removed. Reinstate only per the S-4</t>
        </is>
      </c>
      <c r="F12" s="12" t="inlineStr">
        <is>
          <t>Done on branch</t>
        </is>
      </c>
      <c r="G12" s="10" t="inlineStr">
        <is>
          <t>CTO</t>
        </is>
      </c>
    </row>
    <row r="13">
      <c r="A13" s="10" t="n">
        <v>9</v>
      </c>
      <c r="B13" s="10" t="inlineStr">
        <is>
          <t>Offerings status</t>
        </is>
      </c>
      <c r="C13" s="10" t="inlineStr">
        <is>
          <t>9 categories, unlabelled</t>
        </is>
      </c>
      <c r="D13" s="10" t="inlineStr">
        <is>
          <t>Phase 1 (3) and Phase 2 (6)</t>
        </is>
      </c>
      <c r="E13" s="10" t="inlineStr">
        <is>
          <t>Labelled Near-term focus and Available</t>
        </is>
      </c>
      <c r="F13" s="12" t="inlineStr">
        <is>
          <t>Done on branch</t>
        </is>
      </c>
      <c r="G13" s="10" t="inlineStr">
        <is>
          <t>COO</t>
        </is>
      </c>
    </row>
    <row r="14">
      <c r="A14" s="10" t="n">
        <v>10</v>
      </c>
      <c r="B14" s="10" t="inlineStr">
        <is>
          <t>Data line</t>
        </is>
      </c>
      <c r="C14" s="10" t="inlineStr">
        <is>
          <t>no internet to scrape</t>
        </is>
      </c>
      <c r="D14" s="10" t="inlineStr">
        <is>
          <t>no large public datasets to scrape</t>
        </is>
      </c>
      <c r="E14" s="10" t="inlineStr">
        <is>
          <t>Site now uses the deck's wording</t>
        </is>
      </c>
      <c r="F14" s="12" t="inlineStr">
        <is>
          <t>Done on branch</t>
        </is>
      </c>
      <c r="G14" s="10" t="inlineStr">
        <is>
          <t>CTO</t>
        </is>
      </c>
    </row>
    <row r="15">
      <c r="A15" s="10" t="n">
        <v>11</v>
      </c>
      <c r="B15" s="10" t="inlineStr">
        <is>
          <t>CEO bio</t>
        </is>
      </c>
      <c r="C15" s="10" t="inlineStr">
        <is>
          <t>Fixed to acquired and expanded</t>
        </is>
      </c>
      <c r="D15" s="10" t="inlineStr">
        <is>
          <t>Still says built greenfield to 300k sq ft</t>
        </is>
      </c>
      <c r="E15" s="10" t="inlineStr">
        <is>
          <t>Fix the deck, or the two contradict each other</t>
        </is>
      </c>
      <c r="F15" s="14" t="inlineStr">
        <is>
          <t>Blocked</t>
        </is>
      </c>
      <c r="G15" s="10" t="inlineStr">
        <is>
          <t>CEO</t>
        </is>
      </c>
    </row>
    <row r="16">
      <c r="A16" s="10" t="n">
        <v>12</v>
      </c>
      <c r="B16" s="10" t="inlineStr">
        <is>
          <t>Footprint</t>
        </is>
      </c>
      <c r="C16" s="10" t="inlineStr">
        <is>
          <t>over 300,000 sq ft</t>
        </is>
      </c>
      <c r="D16" s="10" t="inlineStr">
        <is>
          <t>300k+, present footprint in India</t>
        </is>
      </c>
      <c r="E16" s="10" t="inlineStr">
        <is>
          <t>'in India' added on the site</t>
        </is>
      </c>
      <c r="F16" s="12" t="inlineStr">
        <is>
          <t>Done on branch</t>
        </is>
      </c>
      <c r="G16" s="10" t="inlineStr">
        <is>
          <t>CFO</t>
        </is>
      </c>
    </row>
    <row r="17">
      <c r="A17" s="10" t="n">
        <v>13</v>
      </c>
      <c r="B17" s="10" t="inlineStr">
        <is>
          <t>Entity / footer</t>
        </is>
      </c>
      <c r="C17" s="10" t="inlineStr">
        <is>
          <t>2026 NEMI LMM</t>
        </is>
      </c>
      <c r="D17" s="10" t="inlineStr">
        <is>
          <t>US HoldCo (Texas), India as subsidiary</t>
        </is>
      </c>
      <c r="E17" s="10" t="inlineStr">
        <is>
          <t>Footer takes the HoldCo legal name once fixed</t>
        </is>
      </c>
      <c r="F17" s="14" t="inlineStr">
        <is>
          <t>Blocked</t>
        </is>
      </c>
      <c r="G17" s="10" t="inlineStr">
        <is>
          <t>Counsel</t>
        </is>
      </c>
    </row>
    <row r="18">
      <c r="A18" s="10" t="n">
        <v>14</v>
      </c>
      <c r="B18" s="10" t="inlineStr">
        <is>
          <t>Board: Swaminathan</t>
        </is>
      </c>
      <c r="C18" s="10" t="inlineStr">
        <is>
          <t>Sam Swaminathan, Non-exec board</t>
        </is>
      </c>
      <c r="D18" s="10" t="inlineStr">
        <is>
          <t>Swaminathan V. (investor)</t>
        </is>
      </c>
      <c r="E18" s="10" t="inlineStr">
        <is>
          <t>Confirm whether he holds a board seat; align name</t>
        </is>
      </c>
      <c r="F18" s="14" t="inlineStr">
        <is>
          <t>Blocked</t>
        </is>
      </c>
      <c r="G18" s="10" t="inlineStr">
        <is>
          <t>CEO</t>
        </is>
      </c>
    </row>
    <row r="19">
      <c r="A19" s="10" t="n">
        <v>15</v>
      </c>
      <c r="B19" s="10" t="inlineStr">
        <is>
          <t>Board: Sampath</t>
        </is>
      </c>
      <c r="C19" s="10" t="inlineStr">
        <is>
          <t>Dr Sampath Ravinarayanan, Chairman AXISCADES</t>
        </is>
      </c>
      <c r="D19" s="10" t="inlineStr">
        <is>
          <t>Sampath Ravi Narayanan, CEO Axis Cades</t>
        </is>
      </c>
      <c r="E19" s="10" t="inlineStr">
        <is>
          <t>Align spelling and title. Also disclose any family relationship in the S-4</t>
        </is>
      </c>
      <c r="F19" s="14" t="inlineStr">
        <is>
          <t>Blocked</t>
        </is>
      </c>
      <c r="G19" s="10" t="inlineStr">
        <is>
          <t>CEO + counsel</t>
        </is>
      </c>
    </row>
    <row r="20">
      <c r="A20" s="10" t="n">
        <v>16</v>
      </c>
      <c r="B20" s="10" t="inlineStr">
        <is>
          <t>Board: Nishimura</t>
        </is>
      </c>
      <c r="C20" s="10" t="inlineStr">
        <is>
          <t>Board Advisor</t>
        </is>
      </c>
      <c r="D20" s="10" t="inlineStr">
        <is>
          <t>CEO Musashi India, largest investor</t>
        </is>
      </c>
      <c r="E20" s="10" t="inlineStr">
        <is>
          <t>Confirm advisor vs board. Ownership detail stays off the site</t>
        </is>
      </c>
      <c r="F20" s="14" t="inlineStr">
        <is>
          <t>Blocked</t>
        </is>
      </c>
      <c r="G20" s="10" t="inlineStr">
        <is>
          <t>CEO</t>
        </is>
      </c>
    </row>
    <row r="21">
      <c r="A21" s="10" t="n">
        <v>17</v>
      </c>
      <c r="B21" s="10" t="inlineStr">
        <is>
          <t>Board: Ramesh</t>
        </is>
      </c>
      <c r="C21" s="10" t="inlineStr">
        <is>
          <t>Headed McKinsey Industrial Practice for India</t>
        </is>
      </c>
      <c r="D21" s="10" t="inlineStr">
        <is>
          <t>Industrial South Asia head</t>
        </is>
      </c>
      <c r="E21" s="10" t="inlineStr">
        <is>
          <t>Align the two</t>
        </is>
      </c>
      <c r="F21" s="14" t="inlineStr">
        <is>
          <t>Blocked</t>
        </is>
      </c>
      <c r="G21" s="10" t="inlineStr">
        <is>
          <t>CEO</t>
        </is>
      </c>
    </row>
    <row r="22">
      <c r="A22" s="10" t="n">
        <v>18</v>
      </c>
      <c r="B22" s="10" t="inlineStr">
        <is>
          <t>Two CFOs</t>
        </is>
      </c>
      <c r="C22" s="10" t="inlineStr">
        <is>
          <t>Gokul CFO and Subramanian CFO India</t>
        </is>
      </c>
      <c r="D22" s="10" t="inlineStr">
        <is>
          <t>One CFO (deck is now out of date: Kevin Flick is CFO)</t>
        </is>
      </c>
      <c r="E22" s="10" t="inlineStr">
        <is>
          <t>India role retitled Finance Head; Kevin Flick added as CFO; Gokul moved to Chief Strategy Officer. The deck still needs the same change</t>
        </is>
      </c>
      <c r="F22" s="12" t="inlineStr">
        <is>
          <t>Done on branch</t>
        </is>
      </c>
      <c r="G22" s="10" t="inlineStr">
        <is>
          <t>Counsel</t>
        </is>
      </c>
    </row>
    <row r="23">
      <c r="A23" s="10" t="n">
        <v>19</v>
      </c>
      <c r="B23" s="10" t="inlineStr">
        <is>
          <t>COO bio</t>
        </is>
      </c>
      <c r="C23" s="10" t="inlineStr">
        <is>
          <t>20+ years automotive</t>
        </is>
      </c>
      <c r="D23" s="10" t="inlineStr">
        <is>
          <t>adds Nissan, Ford</t>
        </is>
      </c>
      <c r="E23" s="10" t="inlineStr">
        <is>
          <t>Fine as is. Match the S-4 bio word for word</t>
        </is>
      </c>
      <c r="F23" s="13" t="inlineStr">
        <is>
          <t>Open</t>
        </is>
      </c>
      <c r="G23" s="10" t="inlineStr">
        <is>
          <t>Counsel</t>
        </is>
      </c>
    </row>
  </sheetData>
  <autoFilter ref="A4:G23"/>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4"/>
  <sheetViews>
    <sheetView workbookViewId="0">
      <selection activeCell="A1" sqref="A1"/>
    </sheetView>
  </sheetViews>
  <sheetFormatPr baseColWidth="8" defaultRowHeight="15"/>
  <cols>
    <col width="5" customWidth="1" min="1" max="1"/>
    <col width="34" customWidth="1" min="2" max="2"/>
    <col width="52" customWidth="1" min="3" max="3"/>
    <col width="18" customWidth="1" min="4" max="4"/>
    <col width="20" customWidth="1" min="5" max="5"/>
    <col width="44" customWidth="1" min="6" max="6"/>
  </cols>
  <sheetData>
    <row r="1">
      <c r="A1" s="1" t="inlineStr">
        <is>
          <t>What is blocking, and on whom</t>
        </is>
      </c>
    </row>
    <row r="2">
      <c r="A2" s="2" t="inlineStr">
        <is>
          <t>Nothing here can be fixed by editing the site. Each needs a document, a decision or a fact.</t>
        </is>
      </c>
    </row>
    <row r="4" ht="30" customHeight="1">
      <c r="A4" s="3" t="inlineStr">
        <is>
          <t>#</t>
        </is>
      </c>
      <c r="B4" s="3" t="inlineStr">
        <is>
          <t>Item</t>
        </is>
      </c>
      <c r="C4" s="3" t="inlineStr">
        <is>
          <t>What is needed</t>
        </is>
      </c>
      <c r="D4" s="3" t="inlineStr">
        <is>
          <t>Owner</t>
        </is>
      </c>
      <c r="E4" s="3" t="inlineStr">
        <is>
          <t>Due</t>
        </is>
      </c>
      <c r="F4" s="3" t="inlineStr">
        <is>
          <t>Risk if left</t>
        </is>
      </c>
    </row>
    <row r="5">
      <c r="A5" s="10" t="n">
        <v>1</v>
      </c>
      <c r="B5" s="10" t="inlineStr">
        <is>
          <t>invest.nemilmm.com and the Invest page</t>
        </is>
      </c>
      <c r="C5" s="10" t="inlineStr">
        <is>
          <t>Decision: gated NDA and accreditation portal, or remove the link</t>
        </is>
      </c>
      <c r="D5" s="10" t="inlineStr">
        <is>
          <t>CEO + US securities counsel</t>
        </is>
      </c>
      <c r="E5" s="10" t="inlineStr">
        <is>
          <t>This week</t>
        </is>
      </c>
      <c r="F5" s="10" t="inlineStr">
        <is>
          <t>The deck points investors at a blank page, with a SAFE deadline of 30 Sep 2026</t>
        </is>
      </c>
    </row>
    <row r="6">
      <c r="A6" s="10" t="n">
        <v>2</v>
      </c>
      <c r="B6" s="10" t="inlineStr">
        <is>
          <t>Case study evidence</t>
        </is>
      </c>
      <c r="C6" s="10" t="inlineStr">
        <is>
          <t>Source documents for the EV, clamp, coffee and drone figures</t>
        </is>
      </c>
      <c r="D6" s="10" t="inlineStr">
        <is>
          <t>CFO + COO</t>
        </is>
      </c>
      <c r="E6" s="10" t="inlineStr">
        <is>
          <t>Next 2 weeks</t>
        </is>
      </c>
      <c r="F6" s="10" t="inlineStr">
        <is>
          <t>These are the highest-risk claims on the site. Momentus was fined $7M for one such claim</t>
        </is>
      </c>
    </row>
    <row r="7">
      <c r="A7" s="10" t="n">
        <v>3</v>
      </c>
      <c r="B7" s="10" t="inlineStr">
        <is>
          <t>EV case cost figure</t>
        </is>
      </c>
      <c r="C7" s="10" t="inlineStr">
        <is>
          <t>One number, reconciled between site (&lt;$1M) and deck (under $0.5M)</t>
        </is>
      </c>
      <c r="D7" s="10" t="inlineStr">
        <is>
          <t>CFO</t>
        </is>
      </c>
      <c r="E7" s="10" t="inlineStr">
        <is>
          <t>Next 2 weeks</t>
        </is>
      </c>
      <c r="F7" s="10" t="inlineStr">
        <is>
          <t>Site and deck contradict each other in front of the SEC</t>
        </is>
      </c>
    </row>
    <row r="8">
      <c r="A8" s="10" t="n">
        <v>4</v>
      </c>
      <c r="B8" s="10" t="inlineStr">
        <is>
          <t>Coffee case benchmarks</t>
        </is>
      </c>
      <c r="C8" s="10" t="inlineStr">
        <is>
          <t>Written consent for the customer-shared quotes, or pull the numbers</t>
        </is>
      </c>
      <c r="D8" s="10" t="inlineStr">
        <is>
          <t>Sales + CFO</t>
        </is>
      </c>
      <c r="E8" s="10" t="inlineStr">
        <is>
          <t>Next 2 weeks</t>
        </is>
      </c>
      <c r="F8" s="10" t="inlineStr">
        <is>
          <t>Third-party data used without documented consent</t>
        </is>
      </c>
    </row>
    <row r="9">
      <c r="A9" s="10" t="n">
        <v>5</v>
      </c>
      <c r="B9" s="10" t="inlineStr">
        <is>
          <t>Defense UAS customer</t>
        </is>
      </c>
      <c r="C9" s="10" t="inlineStr">
        <is>
          <t>Written permission to name them, or anonymise the deck too</t>
        </is>
      </c>
      <c r="D9" s="10" t="inlineStr">
        <is>
          <t>CEO</t>
        </is>
      </c>
      <c r="E9" s="10" t="inlineStr">
        <is>
          <t>Before BCA signing</t>
        </is>
      </c>
      <c r="F9" s="10" t="inlineStr">
        <is>
          <t>Site and deck take opposite approaches to the same customer</t>
        </is>
      </c>
    </row>
    <row r="10">
      <c r="A10" s="10" t="n">
        <v>6</v>
      </c>
      <c r="B10" s="10" t="inlineStr">
        <is>
          <t>Board and bios</t>
        </is>
      </c>
      <c r="C10" s="10" t="inlineStr">
        <is>
          <t>Confirmed titles, seats and any family relationships</t>
        </is>
      </c>
      <c r="D10" s="10" t="inlineStr">
        <is>
          <t>CEO + counsel</t>
        </is>
      </c>
      <c r="E10" s="10" t="inlineStr">
        <is>
          <t>At S-4 draft</t>
        </is>
      </c>
      <c r="F10" s="10" t="inlineStr">
        <is>
          <t>S-4 lists directors and officers exactly; mismatches invite comment</t>
        </is>
      </c>
    </row>
    <row r="11">
      <c r="A11" s="10" t="n">
        <v>7</v>
      </c>
      <c r="B11" s="10" t="inlineStr">
        <is>
          <t>Legal entity name</t>
        </is>
      </c>
      <c r="C11" s="10" t="inlineStr">
        <is>
          <t>The US HoldCo name as the S-4 will describe it</t>
        </is>
      </c>
      <c r="D11" s="10" t="inlineStr">
        <is>
          <t>Counsel</t>
        </is>
      </c>
      <c r="E11" s="10" t="inlineStr">
        <is>
          <t>At S-4 draft</t>
        </is>
      </c>
      <c r="F11" s="10" t="inlineStr">
        <is>
          <t>Footer and filings would disagree</t>
        </is>
      </c>
    </row>
    <row r="12">
      <c r="A12" s="10" t="n">
        <v>8</v>
      </c>
      <c r="B12" s="10" t="inlineStr">
        <is>
          <t>Legends and FLS wording</t>
        </is>
      </c>
      <c r="C12" s="10" t="inlineStr">
        <is>
          <t>Counsel's final text replacing the placeholders</t>
        </is>
      </c>
      <c r="D12" s="10" t="inlineStr">
        <is>
          <t>Counsel</t>
        </is>
      </c>
      <c r="E12" s="10" t="inlineStr">
        <is>
          <t>Before BCA signing</t>
        </is>
      </c>
      <c r="F12" s="10" t="inlineStr">
        <is>
          <t>Placeholder wording cannot go live</t>
        </is>
      </c>
    </row>
    <row r="13">
      <c r="A13" s="10" t="n">
        <v>9</v>
      </c>
      <c r="B13" s="10" t="inlineStr">
        <is>
          <t>Employee and advisor social rule</t>
        </is>
      </c>
      <c r="C13" s="10" t="inlineStr">
        <is>
          <t>Written and circulated; sponsor side mirrors it</t>
        </is>
      </c>
      <c r="D13" s="10" t="inlineStr">
        <is>
          <t>Marketing + HR</t>
        </is>
      </c>
      <c r="E13" s="10" t="inlineStr">
        <is>
          <t>Immediately</t>
        </is>
      </c>
      <c r="F13" s="10" t="inlineStr">
        <is>
          <t>One personal post can become an unfiled communication</t>
        </is>
      </c>
    </row>
    <row r="14">
      <c r="A14" s="10" t="n">
        <v>10</v>
      </c>
      <c r="B14" s="10" t="inlineStr">
        <is>
          <t>Wayback and social archive check</t>
        </is>
      </c>
      <c r="C14" s="10" t="inlineStr">
        <is>
          <t>Check cached pages, LinkedIn, X and invest.nemilmm.com</t>
        </is>
      </c>
      <c r="D14" s="10" t="inlineStr">
        <is>
          <t>Marketing</t>
        </is>
      </c>
      <c r="E14" s="10" t="inlineStr">
        <is>
          <t>Next 2 weeks</t>
        </is>
      </c>
      <c r="F14" s="10" t="inlineStr">
        <is>
          <t>Git history is clean, but cached pages have not been checked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2026-09-23T06:08:11Z</dcterms:created>
  <dcterms:modified xmlns:dcterms="http://purl.org/dc/terms/" xmlns:xsi="http://www.w3.org/2001/XMLSchema-instance" xsi:type="dcterms:W3CDTF">2026-09-23T10:34:43Z</dcterms:modified>
</cp:coreProperties>
</file>